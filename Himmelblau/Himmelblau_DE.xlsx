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Himmelblau\"/>
    </mc:Choice>
  </mc:AlternateContent>
  <xr:revisionPtr revIDLastSave="0" documentId="13_ncr:1_{46456CF6-4956-4F92-BA05-561CD762DC1B}" xr6:coauthVersionLast="47" xr6:coauthVersionMax="47" xr10:uidLastSave="{00000000-0000-0000-0000-000000000000}"/>
  <bookViews>
    <workbookView xWindow="-120" yWindow="-120" windowWidth="29040" windowHeight="15720" xr2:uid="{F6B18564-8698-4048-A8DF-DC2663C1AF9A}"/>
  </bookViews>
  <sheets>
    <sheet name="Himmelblau_15p_optimitzat 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5" i="1" l="1"/>
  <c r="K135" i="1"/>
  <c r="J135" i="1"/>
  <c r="I135" i="1"/>
  <c r="G135" i="1"/>
  <c r="M135" i="1" s="1"/>
  <c r="L134" i="1"/>
  <c r="K134" i="1"/>
  <c r="J134" i="1"/>
  <c r="I134" i="1"/>
  <c r="G134" i="1"/>
  <c r="M134" i="1" s="1"/>
  <c r="L133" i="1"/>
  <c r="K133" i="1"/>
  <c r="J133" i="1"/>
  <c r="I133" i="1"/>
  <c r="G133" i="1"/>
  <c r="H133" i="1" s="1"/>
  <c r="L132" i="1"/>
  <c r="L136" i="1" s="1"/>
  <c r="K132" i="1"/>
  <c r="K136" i="1" s="1"/>
  <c r="J132" i="1"/>
  <c r="I132" i="1"/>
  <c r="G132" i="1"/>
  <c r="L120" i="1"/>
  <c r="K120" i="1"/>
  <c r="J120" i="1"/>
  <c r="I120" i="1"/>
  <c r="G120" i="1"/>
  <c r="H120" i="1" s="1"/>
  <c r="L119" i="1"/>
  <c r="K119" i="1"/>
  <c r="J119" i="1"/>
  <c r="I119" i="1"/>
  <c r="G119" i="1"/>
  <c r="M119" i="1" s="1"/>
  <c r="L118" i="1"/>
  <c r="K118" i="1"/>
  <c r="J118" i="1"/>
  <c r="I118" i="1"/>
  <c r="G118" i="1"/>
  <c r="M118" i="1" s="1"/>
  <c r="L117" i="1"/>
  <c r="K117" i="1"/>
  <c r="J117" i="1"/>
  <c r="I117" i="1"/>
  <c r="G117" i="1"/>
  <c r="M117" i="1" s="1"/>
  <c r="L116" i="1"/>
  <c r="K116" i="1"/>
  <c r="J116" i="1"/>
  <c r="I116" i="1"/>
  <c r="G116" i="1"/>
  <c r="M116" i="1" s="1"/>
  <c r="L115" i="1"/>
  <c r="K115" i="1"/>
  <c r="J115" i="1"/>
  <c r="I115" i="1"/>
  <c r="G115" i="1"/>
  <c r="M115" i="1" s="1"/>
  <c r="L114" i="1"/>
  <c r="K114" i="1"/>
  <c r="J114" i="1"/>
  <c r="I114" i="1"/>
  <c r="G114" i="1"/>
  <c r="M114" i="1" s="1"/>
  <c r="L113" i="1"/>
  <c r="K113" i="1"/>
  <c r="J113" i="1"/>
  <c r="I113" i="1"/>
  <c r="G113" i="1"/>
  <c r="M113" i="1" s="1"/>
  <c r="L112" i="1"/>
  <c r="K112" i="1"/>
  <c r="J112" i="1"/>
  <c r="I112" i="1"/>
  <c r="G112" i="1"/>
  <c r="H112" i="1" s="1"/>
  <c r="L100" i="1"/>
  <c r="K100" i="1"/>
  <c r="J100" i="1"/>
  <c r="I100" i="1"/>
  <c r="G100" i="1"/>
  <c r="M100" i="1" s="1"/>
  <c r="L99" i="1"/>
  <c r="K99" i="1"/>
  <c r="J99" i="1"/>
  <c r="I99" i="1"/>
  <c r="G99" i="1"/>
  <c r="H99" i="1" s="1"/>
  <c r="L98" i="1"/>
  <c r="K98" i="1"/>
  <c r="J98" i="1"/>
  <c r="I98" i="1"/>
  <c r="G98" i="1"/>
  <c r="M98" i="1" s="1"/>
  <c r="L97" i="1"/>
  <c r="K97" i="1"/>
  <c r="J97" i="1"/>
  <c r="I97" i="1"/>
  <c r="G97" i="1"/>
  <c r="H97" i="1" s="1"/>
  <c r="L96" i="1"/>
  <c r="K96" i="1"/>
  <c r="J96" i="1"/>
  <c r="I96" i="1"/>
  <c r="G96" i="1"/>
  <c r="H96" i="1" s="1"/>
  <c r="L95" i="1"/>
  <c r="K95" i="1"/>
  <c r="J95" i="1"/>
  <c r="I95" i="1"/>
  <c r="G95" i="1"/>
  <c r="H95" i="1" s="1"/>
  <c r="L94" i="1"/>
  <c r="K94" i="1"/>
  <c r="J94" i="1"/>
  <c r="I94" i="1"/>
  <c r="G94" i="1"/>
  <c r="H94" i="1" s="1"/>
  <c r="L93" i="1"/>
  <c r="K93" i="1"/>
  <c r="J93" i="1"/>
  <c r="I93" i="1"/>
  <c r="G93" i="1"/>
  <c r="M93" i="1" s="1"/>
  <c r="L92" i="1"/>
  <c r="K92" i="1"/>
  <c r="J92" i="1"/>
  <c r="I92" i="1"/>
  <c r="G92" i="1"/>
  <c r="H92" i="1" s="1"/>
  <c r="L91" i="1"/>
  <c r="K91" i="1"/>
  <c r="J91" i="1"/>
  <c r="I91" i="1"/>
  <c r="G91" i="1"/>
  <c r="M91" i="1" s="1"/>
  <c r="L90" i="1"/>
  <c r="K90" i="1"/>
  <c r="J90" i="1"/>
  <c r="I90" i="1"/>
  <c r="G90" i="1"/>
  <c r="H90" i="1" s="1"/>
  <c r="L89" i="1"/>
  <c r="K89" i="1"/>
  <c r="J89" i="1"/>
  <c r="I89" i="1"/>
  <c r="G89" i="1"/>
  <c r="M89" i="1" s="1"/>
  <c r="L88" i="1"/>
  <c r="K88" i="1"/>
  <c r="J88" i="1"/>
  <c r="I88" i="1"/>
  <c r="G88" i="1"/>
  <c r="M88" i="1" s="1"/>
  <c r="L87" i="1"/>
  <c r="K87" i="1"/>
  <c r="J87" i="1"/>
  <c r="I87" i="1"/>
  <c r="G87" i="1"/>
  <c r="H87" i="1" s="1"/>
  <c r="L86" i="1"/>
  <c r="K86" i="1"/>
  <c r="J86" i="1"/>
  <c r="I86" i="1"/>
  <c r="G86" i="1"/>
  <c r="M86" i="1" s="1"/>
  <c r="L76" i="1"/>
  <c r="K76" i="1"/>
  <c r="J76" i="1"/>
  <c r="I76" i="1"/>
  <c r="G76" i="1"/>
  <c r="H76" i="1" s="1"/>
  <c r="L75" i="1"/>
  <c r="K75" i="1"/>
  <c r="J75" i="1"/>
  <c r="I75" i="1"/>
  <c r="G75" i="1"/>
  <c r="M75" i="1" s="1"/>
  <c r="L74" i="1"/>
  <c r="K74" i="1"/>
  <c r="J74" i="1"/>
  <c r="I74" i="1"/>
  <c r="G74" i="1"/>
  <c r="M74" i="1" s="1"/>
  <c r="L73" i="1"/>
  <c r="K73" i="1"/>
  <c r="J73" i="1"/>
  <c r="I73" i="1"/>
  <c r="G73" i="1"/>
  <c r="M73" i="1" s="1"/>
  <c r="L72" i="1"/>
  <c r="K72" i="1"/>
  <c r="J72" i="1"/>
  <c r="I72" i="1"/>
  <c r="G72" i="1"/>
  <c r="M72" i="1" s="1"/>
  <c r="L71" i="1"/>
  <c r="K71" i="1"/>
  <c r="J71" i="1"/>
  <c r="I71" i="1"/>
  <c r="G71" i="1"/>
  <c r="M71" i="1" s="1"/>
  <c r="L70" i="1"/>
  <c r="K70" i="1"/>
  <c r="J70" i="1"/>
  <c r="I70" i="1"/>
  <c r="G70" i="1"/>
  <c r="M70" i="1" s="1"/>
  <c r="L69" i="1"/>
  <c r="K69" i="1"/>
  <c r="J69" i="1"/>
  <c r="I69" i="1"/>
  <c r="G69" i="1"/>
  <c r="M69" i="1" s="1"/>
  <c r="L68" i="1"/>
  <c r="K68" i="1"/>
  <c r="J68" i="1"/>
  <c r="I68" i="1"/>
  <c r="G68" i="1"/>
  <c r="H68" i="1" s="1"/>
  <c r="L67" i="1"/>
  <c r="K67" i="1"/>
  <c r="J67" i="1"/>
  <c r="I67" i="1"/>
  <c r="G67" i="1"/>
  <c r="M67" i="1" s="1"/>
  <c r="L66" i="1"/>
  <c r="K66" i="1"/>
  <c r="J66" i="1"/>
  <c r="I66" i="1"/>
  <c r="G66" i="1"/>
  <c r="H66" i="1" s="1"/>
  <c r="M65" i="1"/>
  <c r="L65" i="1"/>
  <c r="K65" i="1"/>
  <c r="J65" i="1"/>
  <c r="I65" i="1"/>
  <c r="G65" i="1"/>
  <c r="H65" i="1" s="1"/>
  <c r="L64" i="1"/>
  <c r="K64" i="1"/>
  <c r="J64" i="1"/>
  <c r="I64" i="1"/>
  <c r="G64" i="1"/>
  <c r="M64" i="1" s="1"/>
  <c r="L63" i="1"/>
  <c r="K63" i="1"/>
  <c r="J63" i="1"/>
  <c r="I63" i="1"/>
  <c r="G63" i="1"/>
  <c r="H63" i="1" s="1"/>
  <c r="L62" i="1"/>
  <c r="K62" i="1"/>
  <c r="J62" i="1"/>
  <c r="I62" i="1"/>
  <c r="G62" i="1"/>
  <c r="H62" i="1" s="1"/>
  <c r="L48" i="1"/>
  <c r="K48" i="1"/>
  <c r="J48" i="1"/>
  <c r="I48" i="1"/>
  <c r="G48" i="1"/>
  <c r="H48" i="1" s="1"/>
  <c r="L47" i="1"/>
  <c r="K47" i="1"/>
  <c r="J47" i="1"/>
  <c r="I47" i="1"/>
  <c r="G47" i="1"/>
  <c r="H47" i="1" s="1"/>
  <c r="L46" i="1"/>
  <c r="K46" i="1"/>
  <c r="J46" i="1"/>
  <c r="I46" i="1"/>
  <c r="G46" i="1"/>
  <c r="M46" i="1" s="1"/>
  <c r="L45" i="1"/>
  <c r="K45" i="1"/>
  <c r="J45" i="1"/>
  <c r="I45" i="1"/>
  <c r="G45" i="1"/>
  <c r="M45" i="1" s="1"/>
  <c r="L44" i="1"/>
  <c r="K44" i="1"/>
  <c r="J44" i="1"/>
  <c r="I44" i="1"/>
  <c r="G44" i="1"/>
  <c r="H44" i="1" s="1"/>
  <c r="L43" i="1"/>
  <c r="K43" i="1"/>
  <c r="J43" i="1"/>
  <c r="I43" i="1"/>
  <c r="G43" i="1"/>
  <c r="M43" i="1" s="1"/>
  <c r="L42" i="1"/>
  <c r="K42" i="1"/>
  <c r="J42" i="1"/>
  <c r="I42" i="1"/>
  <c r="G42" i="1"/>
  <c r="M42" i="1" s="1"/>
  <c r="L41" i="1"/>
  <c r="K41" i="1"/>
  <c r="J41" i="1"/>
  <c r="I41" i="1"/>
  <c r="G41" i="1"/>
  <c r="H41" i="1" s="1"/>
  <c r="L40" i="1"/>
  <c r="K40" i="1"/>
  <c r="J40" i="1"/>
  <c r="I40" i="1"/>
  <c r="G40" i="1"/>
  <c r="M40" i="1" s="1"/>
  <c r="L39" i="1"/>
  <c r="K39" i="1"/>
  <c r="J39" i="1"/>
  <c r="I39" i="1"/>
  <c r="G39" i="1"/>
  <c r="M39" i="1" s="1"/>
  <c r="L38" i="1"/>
  <c r="K38" i="1"/>
  <c r="J38" i="1"/>
  <c r="I38" i="1"/>
  <c r="G38" i="1"/>
  <c r="M38" i="1" s="1"/>
  <c r="L37" i="1"/>
  <c r="K37" i="1"/>
  <c r="J37" i="1"/>
  <c r="I37" i="1"/>
  <c r="G37" i="1"/>
  <c r="M37" i="1" s="1"/>
  <c r="L36" i="1"/>
  <c r="K36" i="1"/>
  <c r="J36" i="1"/>
  <c r="I36" i="1"/>
  <c r="G36" i="1"/>
  <c r="M36" i="1" s="1"/>
  <c r="L35" i="1"/>
  <c r="K35" i="1"/>
  <c r="J35" i="1"/>
  <c r="I35" i="1"/>
  <c r="G35" i="1"/>
  <c r="M35" i="1" s="1"/>
  <c r="L34" i="1"/>
  <c r="K34" i="1"/>
  <c r="J34" i="1"/>
  <c r="I34" i="1"/>
  <c r="G34" i="1"/>
  <c r="M34" i="1" s="1"/>
  <c r="L19" i="1"/>
  <c r="K19" i="1"/>
  <c r="J19" i="1"/>
  <c r="I19" i="1"/>
  <c r="G19" i="1"/>
  <c r="M19" i="1" s="1"/>
  <c r="L18" i="1"/>
  <c r="K18" i="1"/>
  <c r="J18" i="1"/>
  <c r="I18" i="1"/>
  <c r="G18" i="1"/>
  <c r="M18" i="1" s="1"/>
  <c r="L17" i="1"/>
  <c r="K17" i="1"/>
  <c r="J17" i="1"/>
  <c r="I17" i="1"/>
  <c r="G17" i="1"/>
  <c r="H17" i="1" s="1"/>
  <c r="L16" i="1"/>
  <c r="K16" i="1"/>
  <c r="J16" i="1"/>
  <c r="I16" i="1"/>
  <c r="G16" i="1"/>
  <c r="M16" i="1" s="1"/>
  <c r="L15" i="1"/>
  <c r="K15" i="1"/>
  <c r="J15" i="1"/>
  <c r="I15" i="1"/>
  <c r="G15" i="1"/>
  <c r="M15" i="1" s="1"/>
  <c r="L14" i="1"/>
  <c r="K14" i="1"/>
  <c r="J14" i="1"/>
  <c r="I14" i="1"/>
  <c r="G14" i="1"/>
  <c r="H14" i="1" s="1"/>
  <c r="L13" i="1"/>
  <c r="K13" i="1"/>
  <c r="J13" i="1"/>
  <c r="I13" i="1"/>
  <c r="G13" i="1"/>
  <c r="M13" i="1" s="1"/>
  <c r="L12" i="1"/>
  <c r="K12" i="1"/>
  <c r="J12" i="1"/>
  <c r="I12" i="1"/>
  <c r="G12" i="1"/>
  <c r="H12" i="1" s="1"/>
  <c r="L11" i="1"/>
  <c r="K11" i="1"/>
  <c r="J11" i="1"/>
  <c r="I11" i="1"/>
  <c r="G11" i="1"/>
  <c r="M11" i="1" s="1"/>
  <c r="L10" i="1"/>
  <c r="K10" i="1"/>
  <c r="J10" i="1"/>
  <c r="I10" i="1"/>
  <c r="G10" i="1"/>
  <c r="M10" i="1" s="1"/>
  <c r="L9" i="1"/>
  <c r="K9" i="1"/>
  <c r="J9" i="1"/>
  <c r="I9" i="1"/>
  <c r="G9" i="1"/>
  <c r="M9" i="1" s="1"/>
  <c r="L8" i="1"/>
  <c r="K8" i="1"/>
  <c r="J8" i="1"/>
  <c r="I8" i="1"/>
  <c r="G8" i="1"/>
  <c r="H8" i="1" s="1"/>
  <c r="L7" i="1"/>
  <c r="K7" i="1"/>
  <c r="J7" i="1"/>
  <c r="I7" i="1"/>
  <c r="G7" i="1"/>
  <c r="M7" i="1" s="1"/>
  <c r="L6" i="1"/>
  <c r="K6" i="1"/>
  <c r="J6" i="1"/>
  <c r="I6" i="1"/>
  <c r="G6" i="1"/>
  <c r="M6" i="1" s="1"/>
  <c r="L5" i="1"/>
  <c r="K5" i="1"/>
  <c r="J5" i="1"/>
  <c r="I5" i="1"/>
  <c r="G5" i="1"/>
  <c r="M5" i="1" s="1"/>
  <c r="M62" i="1" l="1"/>
  <c r="M17" i="1"/>
  <c r="M99" i="1"/>
  <c r="H89" i="1"/>
  <c r="M76" i="1"/>
  <c r="M48" i="1"/>
  <c r="M68" i="1"/>
  <c r="H7" i="1"/>
  <c r="H11" i="1"/>
  <c r="H36" i="1"/>
  <c r="M96" i="1"/>
  <c r="K101" i="1"/>
  <c r="M47" i="1"/>
  <c r="M63" i="1"/>
  <c r="M112" i="1"/>
  <c r="M44" i="1"/>
  <c r="M87" i="1"/>
  <c r="K121" i="1"/>
  <c r="H115" i="1"/>
  <c r="G20" i="1"/>
  <c r="J121" i="1"/>
  <c r="M8" i="1"/>
  <c r="M12" i="1"/>
  <c r="I49" i="1"/>
  <c r="M94" i="1"/>
  <c r="H135" i="1"/>
  <c r="K77" i="1"/>
  <c r="H93" i="1"/>
  <c r="M14" i="1"/>
  <c r="L101" i="1"/>
  <c r="L77" i="1"/>
  <c r="H70" i="1"/>
  <c r="I77" i="1"/>
  <c r="M90" i="1"/>
  <c r="H71" i="1"/>
  <c r="J20" i="1"/>
  <c r="K49" i="1"/>
  <c r="M41" i="1"/>
  <c r="M120" i="1"/>
  <c r="M121" i="1" s="1"/>
  <c r="H43" i="1"/>
  <c r="J49" i="1"/>
  <c r="G136" i="1"/>
  <c r="I101" i="1"/>
  <c r="J101" i="1"/>
  <c r="M133" i="1"/>
  <c r="H19" i="1"/>
  <c r="J77" i="1"/>
  <c r="I121" i="1"/>
  <c r="L121" i="1"/>
  <c r="K20" i="1"/>
  <c r="I20" i="1"/>
  <c r="L49" i="1"/>
  <c r="L20" i="1"/>
  <c r="I136" i="1"/>
  <c r="H35" i="1"/>
  <c r="H114" i="1"/>
  <c r="J136" i="1"/>
  <c r="M49" i="1"/>
  <c r="H39" i="1"/>
  <c r="H74" i="1"/>
  <c r="G77" i="1"/>
  <c r="H118" i="1"/>
  <c r="G121" i="1"/>
  <c r="H6" i="1"/>
  <c r="H42" i="1"/>
  <c r="H88" i="1"/>
  <c r="H134" i="1"/>
  <c r="H9" i="1"/>
  <c r="H45" i="1"/>
  <c r="H91" i="1"/>
  <c r="H15" i="1"/>
  <c r="H18" i="1"/>
  <c r="H34" i="1"/>
  <c r="H69" i="1"/>
  <c r="H100" i="1"/>
  <c r="H113" i="1"/>
  <c r="H37" i="1"/>
  <c r="H72" i="1"/>
  <c r="H116" i="1"/>
  <c r="H40" i="1"/>
  <c r="H75" i="1"/>
  <c r="H86" i="1"/>
  <c r="H119" i="1"/>
  <c r="H132" i="1"/>
  <c r="H46" i="1"/>
  <c r="M66" i="1"/>
  <c r="M97" i="1"/>
  <c r="H16" i="1"/>
  <c r="H67" i="1"/>
  <c r="H98" i="1"/>
  <c r="G101" i="1"/>
  <c r="H13" i="1"/>
  <c r="H10" i="1"/>
  <c r="G49" i="1"/>
  <c r="H64" i="1"/>
  <c r="M132" i="1"/>
  <c r="H38" i="1"/>
  <c r="H73" i="1"/>
  <c r="H117" i="1"/>
  <c r="H5" i="1"/>
  <c r="M92" i="1"/>
  <c r="M95" i="1"/>
  <c r="M20" i="1" l="1"/>
  <c r="M77" i="1"/>
  <c r="M136" i="1"/>
  <c r="M101" i="1"/>
</calcChain>
</file>

<file path=xl/sharedStrings.xml><?xml version="1.0" encoding="utf-8"?>
<sst xmlns="http://schemas.openxmlformats.org/spreadsheetml/2006/main" count="103" uniqueCount="24">
  <si>
    <t>RESPONSE 1 R1 (FUNCTION)</t>
  </si>
  <si>
    <t>MAE</t>
  </si>
  <si>
    <t>Solutions</t>
  </si>
  <si>
    <t>R1</t>
  </si>
  <si>
    <t>15 Solutions found</t>
  </si>
  <si>
    <t>log</t>
  </si>
  <si>
    <t xml:space="preserve">Calcul distancia </t>
  </si>
  <si>
    <t>Number</t>
  </si>
  <si>
    <t>X</t>
  </si>
  <si>
    <t>Y</t>
  </si>
  <si>
    <t>Desirability</t>
  </si>
  <si>
    <t xml:space="preserve">M1 </t>
  </si>
  <si>
    <t>M2</t>
  </si>
  <si>
    <t>M3</t>
  </si>
  <si>
    <t>M4</t>
  </si>
  <si>
    <t>Selected</t>
  </si>
  <si>
    <t>R2</t>
  </si>
  <si>
    <t xml:space="preserve">fitting bo </t>
  </si>
  <si>
    <t>R3</t>
  </si>
  <si>
    <t>R4</t>
  </si>
  <si>
    <t>R5</t>
  </si>
  <si>
    <t>9 Solutions found</t>
  </si>
  <si>
    <t>R6</t>
  </si>
  <si>
    <t>4 Solutions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</si>
</sst>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auto="1"/>
      </bottom>
      <diagonal/>
    </border>
    <border>
      <left/>
      <right/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/>
    <xf numFmtId="2" fontId="0" fillId="0" borderId="0" xfId="0" applyNumberFormat="1"/>
    <xf numFmtId="0" fontId="4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right" vertical="center" wrapText="1"/>
    </xf>
    <xf numFmtId="2" fontId="0" fillId="0" borderId="0" xfId="0" applyNumberFormat="1" applyAlignment="1">
      <alignment horizontal="center"/>
    </xf>
    <xf numFmtId="2" fontId="1" fillId="0" borderId="1" xfId="0" applyNumberFormat="1" applyFont="1" applyBorder="1"/>
    <xf numFmtId="0" fontId="0" fillId="0" borderId="9" xfId="0" applyBorder="1"/>
    <xf numFmtId="0" fontId="0" fillId="0" borderId="10" xfId="0" applyBorder="1"/>
    <xf numFmtId="2" fontId="0" fillId="0" borderId="11" xfId="0" applyNumberFormat="1" applyBorder="1"/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1" xfId="0" applyBorder="1"/>
    <xf numFmtId="0" fontId="0" fillId="0" borderId="12" xfId="0" applyBorder="1"/>
    <xf numFmtId="2" fontId="0" fillId="0" borderId="13" xfId="0" applyNumberFormat="1" applyBorder="1"/>
    <xf numFmtId="2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2" fontId="0" fillId="0" borderId="17" xfId="0" applyNumberFormat="1" applyBorder="1"/>
    <xf numFmtId="0" fontId="0" fillId="0" borderId="18" xfId="0" applyBorder="1"/>
    <xf numFmtId="2" fontId="0" fillId="0" borderId="19" xfId="0" applyNumberFormat="1" applyBorder="1"/>
    <xf numFmtId="0" fontId="0" fillId="0" borderId="20" xfId="0" applyBorder="1"/>
    <xf numFmtId="2" fontId="0" fillId="0" borderId="21" xfId="0" applyNumberFormat="1" applyBorder="1"/>
    <xf numFmtId="0" fontId="0" fillId="4" borderId="0" xfId="0" applyFill="1"/>
    <xf numFmtId="2" fontId="0" fillId="0" borderId="1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1.111.222.127\Datos\08%20TESIS\03%20ERM\07%20TFM\Funcions\Functions_optimitzat_23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mmelblau_15p_optimitzat "/>
      <sheetName val="Rosenbrock_15_optimitzat"/>
      <sheetName val="Beale_15_optimitzat"/>
      <sheetName val="Rastrigin_15_optimitzat"/>
    </sheetNames>
    <sheetDataSet>
      <sheetData sheetId="0">
        <row r="27">
          <cell r="C27" t="str">
            <v>Distància M1</v>
          </cell>
          <cell r="D27" t="str">
            <v>Distància M2</v>
          </cell>
          <cell r="E27" t="str">
            <v>Distància M3</v>
          </cell>
          <cell r="F27" t="str">
            <v>Distància M4</v>
          </cell>
          <cell r="G27" t="str">
            <v>MAE</v>
          </cell>
        </row>
        <row r="28">
          <cell r="B28">
            <v>1</v>
          </cell>
          <cell r="C28">
            <v>2.8915618616934342</v>
          </cell>
          <cell r="D28">
            <v>1.7691232009105529</v>
          </cell>
          <cell r="E28">
            <v>0.62551586710490392</v>
          </cell>
          <cell r="F28">
            <v>1.9401175144820482</v>
          </cell>
          <cell r="G28">
            <v>679.7521820350812</v>
          </cell>
        </row>
        <row r="29">
          <cell r="B29">
            <v>2</v>
          </cell>
          <cell r="C29">
            <v>0.65069193939989767</v>
          </cell>
          <cell r="D29">
            <v>0.37765870835981008</v>
          </cell>
          <cell r="E29">
            <v>0.2819945034925328</v>
          </cell>
          <cell r="F29">
            <v>0.34208620258642408</v>
          </cell>
          <cell r="G29">
            <v>4.4093714954690274E-3</v>
          </cell>
        </row>
        <row r="30">
          <cell r="B30">
            <v>3</v>
          </cell>
          <cell r="C30">
            <v>0.27060118255469623</v>
          </cell>
          <cell r="D30">
            <v>0.14017168044936909</v>
          </cell>
          <cell r="E30">
            <v>6.8929674306498795E-2</v>
          </cell>
          <cell r="F30">
            <v>0.16602520892924652</v>
          </cell>
          <cell r="G30">
            <v>4.5038422603992491E-3</v>
          </cell>
        </row>
        <row r="31">
          <cell r="B31">
            <v>4</v>
          </cell>
          <cell r="C31">
            <v>6.1392181912683343E-2</v>
          </cell>
          <cell r="D31">
            <v>3.8310572953167768E-2</v>
          </cell>
          <cell r="E31">
            <v>3.2312536266904154E-2</v>
          </cell>
          <cell r="F31">
            <v>6.4400077639704761E-2</v>
          </cell>
          <cell r="G31">
            <v>1.3120943772820004</v>
          </cell>
        </row>
        <row r="32">
          <cell r="B32">
            <v>5</v>
          </cell>
          <cell r="C32">
            <v>1.9313207915827815E-2</v>
          </cell>
          <cell r="D32">
            <v>5.9076221950967976E-3</v>
          </cell>
          <cell r="E32">
            <v>1.7102631376487189E-2</v>
          </cell>
          <cell r="F32">
            <v>3.2074444656143224E-2</v>
          </cell>
          <cell r="G32">
            <v>5.7310253533321529E-4</v>
          </cell>
        </row>
        <row r="33">
          <cell r="B33">
            <v>6</v>
          </cell>
          <cell r="C33">
            <v>2.2360679774995436E-3</v>
          </cell>
          <cell r="D33">
            <v>4.1593268686168829E-3</v>
          </cell>
          <cell r="E33">
            <v>2.9832867780352434E-3</v>
          </cell>
          <cell r="F33">
            <v>3.9204591567825421E-3</v>
          </cell>
          <cell r="G33">
            <v>3.4639631999997119E-4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67F2-08EB-46F2-BD8C-0CD5F858243D}">
  <dimension ref="A1:M137"/>
  <sheetViews>
    <sheetView tabSelected="1" zoomScale="30" zoomScaleNormal="30" workbookViewId="0">
      <selection activeCell="AA59" sqref="AA59"/>
    </sheetView>
  </sheetViews>
  <sheetFormatPr baseColWidth="10" defaultColWidth="11.42578125" defaultRowHeight="15" x14ac:dyDescent="0.25"/>
  <cols>
    <col min="2" max="2" width="14.85546875" customWidth="1"/>
    <col min="3" max="3" width="23" customWidth="1"/>
    <col min="4" max="4" width="27.140625" customWidth="1"/>
    <col min="7" max="8" width="37.5703125" style="1" customWidth="1"/>
    <col min="13" max="13" width="23" customWidth="1"/>
  </cols>
  <sheetData>
    <row r="1" spans="1:13" ht="18.75" x14ac:dyDescent="0.3">
      <c r="A1" s="4" t="s">
        <v>2</v>
      </c>
      <c r="B1" s="2" t="s">
        <v>3</v>
      </c>
    </row>
    <row r="2" spans="1:13" ht="15.75" thickBot="1" x14ac:dyDescent="0.3">
      <c r="A2" t="s">
        <v>4</v>
      </c>
    </row>
    <row r="3" spans="1:13" ht="15.75" thickTop="1" x14ac:dyDescent="0.25">
      <c r="H3" s="5" t="s">
        <v>5</v>
      </c>
      <c r="I3" s="6" t="s">
        <v>6</v>
      </c>
      <c r="J3" s="7"/>
      <c r="K3" s="7"/>
      <c r="L3" s="7"/>
      <c r="M3" s="5" t="s">
        <v>1</v>
      </c>
    </row>
    <row r="4" spans="1:13" ht="15.75" thickBot="1" x14ac:dyDescent="0.3">
      <c r="A4" s="8" t="s">
        <v>7</v>
      </c>
      <c r="B4" s="8" t="s">
        <v>8</v>
      </c>
      <c r="C4" s="8" t="s">
        <v>9</v>
      </c>
      <c r="D4" s="8" t="s">
        <v>3</v>
      </c>
      <c r="E4" s="8" t="s">
        <v>10</v>
      </c>
      <c r="F4" s="8"/>
      <c r="G4" s="1" t="s">
        <v>0</v>
      </c>
      <c r="H4" s="9"/>
      <c r="I4" s="10" t="s">
        <v>11</v>
      </c>
      <c r="J4" s="11" t="s">
        <v>12</v>
      </c>
      <c r="K4" s="11" t="s">
        <v>13</v>
      </c>
      <c r="L4" s="12" t="s">
        <v>14</v>
      </c>
      <c r="M4" s="9"/>
    </row>
    <row r="5" spans="1:13" ht="15.75" thickTop="1" x14ac:dyDescent="0.25">
      <c r="A5" s="13">
        <v>1</v>
      </c>
      <c r="B5" s="13">
        <v>-3.1120000000000001</v>
      </c>
      <c r="C5" s="13">
        <v>1.389</v>
      </c>
      <c r="D5" s="13">
        <v>-138.447</v>
      </c>
      <c r="E5" s="13">
        <v>1</v>
      </c>
      <c r="F5" s="13" t="s">
        <v>15</v>
      </c>
      <c r="G5" s="14">
        <f>((B5)^2 + C5 -11)^2 + (B5 + (C5)^2 - 7)^2</f>
        <v>66.961644336977002</v>
      </c>
      <c r="H5" s="15">
        <f>LOG(G5)</f>
        <v>1.8258261098255149</v>
      </c>
      <c r="I5" s="16">
        <f>SQRT((B5-3)^2 + (C5-2)^2)</f>
        <v>6.1424640821090684</v>
      </c>
      <c r="J5" s="16">
        <f>SQRT((B5-(-2.8051))^2 + (C5-3.1313)^2)</f>
        <v>1.7691232009105529</v>
      </c>
      <c r="K5" s="16">
        <f>SQRT((B5-(-3.7793))^2 + (C5-(-3.2831))^2)</f>
        <v>4.7195135024703561</v>
      </c>
      <c r="L5" s="17">
        <f>SQRT((B5-3.5844)^2+(C5-(-1.8481))^2)</f>
        <v>7.4377812128349143</v>
      </c>
      <c r="M5" s="18">
        <f>ABS(D5-G5)</f>
        <v>205.40864433697701</v>
      </c>
    </row>
    <row r="6" spans="1:13" x14ac:dyDescent="0.25">
      <c r="A6" s="19">
        <v>2</v>
      </c>
      <c r="B6" s="19">
        <v>-0.42299999999999999</v>
      </c>
      <c r="C6" s="19">
        <v>-4.5759999999999996</v>
      </c>
      <c r="D6" s="19">
        <v>-98.111000000000004</v>
      </c>
      <c r="E6" s="19">
        <v>1</v>
      </c>
      <c r="F6" s="20"/>
      <c r="G6" s="14">
        <f>((B6)^2 + C6 -11)^2 + (B6 + (C6)^2 - 7)^2</f>
        <v>419.77302881321691</v>
      </c>
      <c r="H6" s="15">
        <f t="shared" ref="H6:H19" si="0">LOG(G6)</f>
        <v>2.6230145309260218</v>
      </c>
      <c r="I6" s="21">
        <f t="shared" ref="I6:I19" si="1">SQRT((B6-3)^2 + (C6-2)^2)</f>
        <v>7.4135487453715445</v>
      </c>
      <c r="J6" s="21">
        <f t="shared" ref="J6:J19" si="2">SQRT((B6-(-2.8051))^2 + (C6-3.1313)^2)</f>
        <v>8.0670238440207935</v>
      </c>
      <c r="K6" s="21">
        <f t="shared" ref="K6:K19" si="3">SQRT((B6-(-3.7793))^2 + (C6-(-3.2831))^2)</f>
        <v>3.5967124016245724</v>
      </c>
      <c r="L6" s="22">
        <f t="shared" ref="L6:L19" si="4">SQRT((B6-3.5844)^2+(C6-(-1.8481))^2)</f>
        <v>4.8477513519156483</v>
      </c>
      <c r="M6" s="23">
        <f t="shared" ref="M6:M19" si="5">ABS(D6-G6)</f>
        <v>517.8840288132169</v>
      </c>
    </row>
    <row r="7" spans="1:13" x14ac:dyDescent="0.25">
      <c r="A7" s="19">
        <v>3</v>
      </c>
      <c r="B7" s="19">
        <v>0.42</v>
      </c>
      <c r="C7" s="19">
        <v>-2.48</v>
      </c>
      <c r="D7" s="19">
        <v>-691.82600000000002</v>
      </c>
      <c r="E7" s="19">
        <v>1</v>
      </c>
      <c r="F7" s="20"/>
      <c r="G7" s="14">
        <f>((B7)^2 + C7 -11)^2 + (B7 + (C7)^2 - 7)^2</f>
        <v>177.17032911999999</v>
      </c>
      <c r="H7" s="15">
        <f t="shared" si="0"/>
        <v>2.2483909919392726</v>
      </c>
      <c r="I7" s="21">
        <f t="shared" si="1"/>
        <v>5.1697969012331617</v>
      </c>
      <c r="J7" s="21">
        <f t="shared" si="2"/>
        <v>6.4720906745811284</v>
      </c>
      <c r="K7" s="21">
        <f t="shared" si="3"/>
        <v>4.2754052556453637</v>
      </c>
      <c r="L7" s="22">
        <f t="shared" si="4"/>
        <v>3.226875419039291</v>
      </c>
      <c r="M7" s="23">
        <f t="shared" si="5"/>
        <v>868.99632912000004</v>
      </c>
    </row>
    <row r="8" spans="1:13" x14ac:dyDescent="0.25">
      <c r="A8" s="19">
        <v>4</v>
      </c>
      <c r="B8" s="19">
        <v>-3.6</v>
      </c>
      <c r="C8" s="19">
        <v>-2.4</v>
      </c>
      <c r="D8" s="19">
        <v>-1457.1</v>
      </c>
      <c r="E8" s="19">
        <v>1</v>
      </c>
      <c r="F8" s="20"/>
      <c r="G8" s="14">
        <f t="shared" ref="G8:G19" si="6">((B8)^2 + C8 -11)^2 + (B8 + (C8)^2 - 7)^2</f>
        <v>23.619199999999999</v>
      </c>
      <c r="H8" s="15">
        <f t="shared" si="0"/>
        <v>1.373265183647123</v>
      </c>
      <c r="I8" s="21">
        <f t="shared" si="1"/>
        <v>7.9322128060207762</v>
      </c>
      <c r="J8" s="21">
        <f t="shared" si="2"/>
        <v>5.5881254191365457</v>
      </c>
      <c r="K8" s="21">
        <f t="shared" si="3"/>
        <v>0.90111824973196519</v>
      </c>
      <c r="L8" s="22">
        <f t="shared" si="4"/>
        <v>7.2055670817778106</v>
      </c>
      <c r="M8" s="23">
        <f t="shared" si="5"/>
        <v>1480.7192</v>
      </c>
    </row>
    <row r="9" spans="1:13" x14ac:dyDescent="0.25">
      <c r="A9" s="19">
        <v>5</v>
      </c>
      <c r="B9" s="19">
        <v>5.85</v>
      </c>
      <c r="C9" s="19">
        <v>-0.88400000000000001</v>
      </c>
      <c r="D9" s="19">
        <v>-19.032</v>
      </c>
      <c r="E9" s="19">
        <v>1</v>
      </c>
      <c r="F9" s="20"/>
      <c r="G9" s="14">
        <f t="shared" si="6"/>
        <v>499.14440692993583</v>
      </c>
      <c r="H9" s="15">
        <f t="shared" si="0"/>
        <v>2.6982262090701252</v>
      </c>
      <c r="I9" s="21">
        <f t="shared" si="1"/>
        <v>4.0546215606391671</v>
      </c>
      <c r="J9" s="21">
        <f t="shared" si="2"/>
        <v>9.541141970435195</v>
      </c>
      <c r="K9" s="21">
        <f t="shared" si="3"/>
        <v>9.9236636027225362</v>
      </c>
      <c r="L9" s="22">
        <f t="shared" si="4"/>
        <v>2.4622006762244215</v>
      </c>
      <c r="M9" s="23">
        <f t="shared" si="5"/>
        <v>518.17640692993587</v>
      </c>
    </row>
    <row r="10" spans="1:13" x14ac:dyDescent="0.25">
      <c r="A10" s="19">
        <v>6</v>
      </c>
      <c r="B10" s="19">
        <v>-4.8</v>
      </c>
      <c r="C10" s="19">
        <v>-4.0339999999999998</v>
      </c>
      <c r="D10" s="19">
        <v>-837.40599999999995</v>
      </c>
      <c r="E10" s="19">
        <v>1</v>
      </c>
      <c r="F10" s="20"/>
      <c r="G10" s="14">
        <f t="shared" si="6"/>
        <v>84.105160600335992</v>
      </c>
      <c r="H10" s="15">
        <f t="shared" si="0"/>
        <v>1.9248226444481906</v>
      </c>
      <c r="I10" s="21">
        <f t="shared" si="1"/>
        <v>9.8614986690664814</v>
      </c>
      <c r="J10" s="21">
        <f t="shared" si="2"/>
        <v>7.4378189074486079</v>
      </c>
      <c r="K10" s="21">
        <f t="shared" si="3"/>
        <v>1.2671540158954628</v>
      </c>
      <c r="L10" s="22">
        <f t="shared" si="4"/>
        <v>8.6646593799179428</v>
      </c>
      <c r="M10" s="23">
        <f t="shared" si="5"/>
        <v>921.51116060033598</v>
      </c>
    </row>
    <row r="11" spans="1:13" x14ac:dyDescent="0.25">
      <c r="A11" s="19">
        <v>7</v>
      </c>
      <c r="B11" s="19">
        <v>5.7</v>
      </c>
      <c r="C11" s="19">
        <v>-2.91</v>
      </c>
      <c r="D11" s="19">
        <v>9.9390000000000001</v>
      </c>
      <c r="E11" s="19">
        <v>1</v>
      </c>
      <c r="F11" s="20"/>
      <c r="G11" s="14">
        <f t="shared" si="6"/>
        <v>396.59805761000013</v>
      </c>
      <c r="H11" s="15">
        <f t="shared" si="0"/>
        <v>2.5983505828614057</v>
      </c>
      <c r="I11" s="21">
        <f t="shared" si="1"/>
        <v>5.6034007531141299</v>
      </c>
      <c r="J11" s="21">
        <f t="shared" si="2"/>
        <v>10.432355040929156</v>
      </c>
      <c r="K11" s="21">
        <f t="shared" si="3"/>
        <v>9.4866396632316548</v>
      </c>
      <c r="L11" s="22">
        <f t="shared" si="4"/>
        <v>2.367149122890233</v>
      </c>
      <c r="M11" s="23">
        <f t="shared" si="5"/>
        <v>386.6590576100001</v>
      </c>
    </row>
    <row r="12" spans="1:13" x14ac:dyDescent="0.25">
      <c r="A12" s="19">
        <v>8</v>
      </c>
      <c r="B12" s="19">
        <v>-1.8</v>
      </c>
      <c r="C12" s="19">
        <v>0.66</v>
      </c>
      <c r="D12" s="19">
        <v>-595.20100000000002</v>
      </c>
      <c r="E12" s="19">
        <v>1</v>
      </c>
      <c r="F12" s="20"/>
      <c r="G12" s="14">
        <f t="shared" si="6"/>
        <v>120.37318735999999</v>
      </c>
      <c r="H12" s="15">
        <f t="shared" si="0"/>
        <v>2.0805297603570825</v>
      </c>
      <c r="I12" s="21">
        <f t="shared" si="1"/>
        <v>4.9835328834071113</v>
      </c>
      <c r="J12" s="21">
        <f t="shared" si="2"/>
        <v>2.667873628941221</v>
      </c>
      <c r="K12" s="21">
        <f t="shared" si="3"/>
        <v>4.4119911717953384</v>
      </c>
      <c r="L12" s="22">
        <f t="shared" si="4"/>
        <v>5.9398930099792207</v>
      </c>
      <c r="M12" s="23">
        <f t="shared" si="5"/>
        <v>715.57418736</v>
      </c>
    </row>
    <row r="13" spans="1:13" x14ac:dyDescent="0.25">
      <c r="A13" s="19">
        <v>9</v>
      </c>
      <c r="B13" s="19">
        <v>-3.24</v>
      </c>
      <c r="C13" s="19">
        <v>-3.6</v>
      </c>
      <c r="D13" s="19">
        <v>-1397.873</v>
      </c>
      <c r="E13" s="19">
        <v>1</v>
      </c>
      <c r="F13" s="20"/>
      <c r="G13" s="14">
        <f t="shared" si="6"/>
        <v>24.228085759999981</v>
      </c>
      <c r="H13" s="15">
        <f t="shared" si="0"/>
        <v>1.3843191022633807</v>
      </c>
      <c r="I13" s="21">
        <f t="shared" si="1"/>
        <v>8.384366404207297</v>
      </c>
      <c r="J13" s="21">
        <f t="shared" si="2"/>
        <v>6.7453345135730673</v>
      </c>
      <c r="K13" s="21">
        <f t="shared" si="3"/>
        <v>0.62551586710490392</v>
      </c>
      <c r="L13" s="22">
        <f t="shared" si="4"/>
        <v>7.045678744450389</v>
      </c>
      <c r="M13" s="23">
        <f t="shared" si="5"/>
        <v>1422.1010857599999</v>
      </c>
    </row>
    <row r="14" spans="1:13" x14ac:dyDescent="0.25">
      <c r="A14" s="19">
        <v>10</v>
      </c>
      <c r="B14" s="19">
        <v>0.65300000000000002</v>
      </c>
      <c r="C14" s="19">
        <v>0.311</v>
      </c>
      <c r="D14" s="19">
        <v>-96.608000000000004</v>
      </c>
      <c r="E14" s="19">
        <v>1</v>
      </c>
      <c r="F14" s="20"/>
      <c r="G14" s="14">
        <f t="shared" si="6"/>
        <v>144.38676161112201</v>
      </c>
      <c r="H14" s="15">
        <f t="shared" si="0"/>
        <v>2.1595273759011988</v>
      </c>
      <c r="I14" s="21">
        <f t="shared" si="1"/>
        <v>2.8915618616934342</v>
      </c>
      <c r="J14" s="21">
        <f t="shared" si="2"/>
        <v>4.4623477789163859</v>
      </c>
      <c r="K14" s="21">
        <f t="shared" si="3"/>
        <v>5.7063857300396368</v>
      </c>
      <c r="L14" s="22">
        <f t="shared" si="4"/>
        <v>3.6407167934350508</v>
      </c>
      <c r="M14" s="23">
        <f t="shared" si="5"/>
        <v>240.99476161112202</v>
      </c>
    </row>
    <row r="15" spans="1:13" x14ac:dyDescent="0.25">
      <c r="A15" s="19">
        <v>11</v>
      </c>
      <c r="B15" s="19">
        <v>1.7729999999999999</v>
      </c>
      <c r="C15" s="19">
        <v>-2.5430000000000001</v>
      </c>
      <c r="D15" s="19">
        <v>-135.619</v>
      </c>
      <c r="E15" s="19">
        <v>1</v>
      </c>
      <c r="F15" s="20"/>
      <c r="G15" s="14">
        <f t="shared" si="6"/>
        <v>109.68622262264199</v>
      </c>
      <c r="H15" s="15">
        <f t="shared" si="0"/>
        <v>2.0401520804942423</v>
      </c>
      <c r="I15" s="21">
        <f t="shared" si="1"/>
        <v>4.7057813378864086</v>
      </c>
      <c r="J15" s="21">
        <f t="shared" si="2"/>
        <v>7.2908627815917644</v>
      </c>
      <c r="K15" s="21">
        <f t="shared" si="3"/>
        <v>5.601409045945493</v>
      </c>
      <c r="L15" s="22">
        <f t="shared" si="4"/>
        <v>1.9401175144820482</v>
      </c>
      <c r="M15" s="23">
        <f t="shared" si="5"/>
        <v>245.30522262264199</v>
      </c>
    </row>
    <row r="16" spans="1:13" x14ac:dyDescent="0.25">
      <c r="A16" s="19">
        <v>12</v>
      </c>
      <c r="B16" s="19">
        <v>-3.5670000000000002</v>
      </c>
      <c r="C16" s="19">
        <v>-5.5620000000000003</v>
      </c>
      <c r="D16" s="19">
        <v>-44.517000000000003</v>
      </c>
      <c r="E16" s="19">
        <v>1</v>
      </c>
      <c r="F16" s="20"/>
      <c r="G16" s="14">
        <f t="shared" si="6"/>
        <v>429.6239725934571</v>
      </c>
      <c r="H16" s="15">
        <f t="shared" si="0"/>
        <v>2.6330885065708838</v>
      </c>
      <c r="I16" s="21">
        <f t="shared" si="1"/>
        <v>10.01545470760065</v>
      </c>
      <c r="J16" s="21">
        <f t="shared" si="2"/>
        <v>8.7266234306288251</v>
      </c>
      <c r="K16" s="21">
        <f t="shared" si="3"/>
        <v>2.2887674630682779</v>
      </c>
      <c r="L16" s="22">
        <f t="shared" si="4"/>
        <v>8.0582612994367473</v>
      </c>
      <c r="M16" s="23">
        <f t="shared" si="5"/>
        <v>474.14097259345709</v>
      </c>
    </row>
    <row r="17" spans="1:13" x14ac:dyDescent="0.25">
      <c r="A17" s="19">
        <v>13</v>
      </c>
      <c r="B17" s="19">
        <v>-5.6920000000000002</v>
      </c>
      <c r="C17" s="19">
        <v>-1.8819999999999999</v>
      </c>
      <c r="D17" s="19">
        <v>-22.81</v>
      </c>
      <c r="E17" s="19">
        <v>1</v>
      </c>
      <c r="F17" s="20"/>
      <c r="G17" s="14">
        <f t="shared" si="6"/>
        <v>464.63187120027209</v>
      </c>
      <c r="H17" s="15">
        <f t="shared" si="0"/>
        <v>2.6671089967075958</v>
      </c>
      <c r="I17" s="21">
        <f t="shared" si="1"/>
        <v>9.5194951546812607</v>
      </c>
      <c r="J17" s="21">
        <f t="shared" si="2"/>
        <v>5.785098832345045</v>
      </c>
      <c r="K17" s="21">
        <f t="shared" si="3"/>
        <v>2.3709707927344867</v>
      </c>
      <c r="L17" s="22">
        <f t="shared" si="4"/>
        <v>9.276461942464918</v>
      </c>
      <c r="M17" s="23">
        <f t="shared" si="5"/>
        <v>487.44187120027209</v>
      </c>
    </row>
    <row r="18" spans="1:13" x14ac:dyDescent="0.25">
      <c r="A18" s="19">
        <v>14</v>
      </c>
      <c r="B18" s="19">
        <v>-0.50700000000000001</v>
      </c>
      <c r="C18" s="19">
        <v>-0.58199999999999996</v>
      </c>
      <c r="D18" s="19">
        <v>-805.66300000000001</v>
      </c>
      <c r="E18" s="19">
        <v>1</v>
      </c>
      <c r="F18" s="20"/>
      <c r="G18" s="14">
        <f t="shared" si="6"/>
        <v>179.63869596457701</v>
      </c>
      <c r="H18" s="15">
        <f t="shared" si="0"/>
        <v>2.254399893766295</v>
      </c>
      <c r="I18" s="21">
        <f t="shared" si="1"/>
        <v>4.3549710676421256</v>
      </c>
      <c r="J18" s="21">
        <f t="shared" si="2"/>
        <v>4.3669051397986651</v>
      </c>
      <c r="K18" s="21">
        <f t="shared" si="3"/>
        <v>4.2430989264922871</v>
      </c>
      <c r="L18" s="22">
        <f t="shared" si="4"/>
        <v>4.2828218699824534</v>
      </c>
      <c r="M18" s="23">
        <f t="shared" si="5"/>
        <v>985.30169596457699</v>
      </c>
    </row>
    <row r="19" spans="1:13" ht="15.75" thickBot="1" x14ac:dyDescent="0.3">
      <c r="A19" s="19">
        <v>15</v>
      </c>
      <c r="B19" s="19">
        <v>-2.8570000000000002</v>
      </c>
      <c r="C19" s="19">
        <v>0.497</v>
      </c>
      <c r="D19" s="19">
        <v>-628.23800000000006</v>
      </c>
      <c r="E19" s="19">
        <v>1</v>
      </c>
      <c r="F19" s="20"/>
      <c r="G19" s="14">
        <f t="shared" si="6"/>
        <v>97.830106003682019</v>
      </c>
      <c r="H19" s="15">
        <f t="shared" si="0"/>
        <v>1.990472524105086</v>
      </c>
      <c r="I19" s="21">
        <f t="shared" si="1"/>
        <v>6.0467725275555058</v>
      </c>
      <c r="J19" s="21">
        <f t="shared" si="2"/>
        <v>2.6348112076579606</v>
      </c>
      <c r="K19" s="21">
        <f t="shared" si="3"/>
        <v>3.8909887303871749</v>
      </c>
      <c r="L19" s="22">
        <f t="shared" si="4"/>
        <v>6.8550075105721069</v>
      </c>
      <c r="M19" s="24">
        <f t="shared" si="5"/>
        <v>726.06810600368203</v>
      </c>
    </row>
    <row r="20" spans="1:13" ht="16.5" thickTop="1" thickBot="1" x14ac:dyDescent="0.3">
      <c r="G20" s="25">
        <f>MIN(G5:G19)</f>
        <v>23.619199999999999</v>
      </c>
      <c r="I20" s="25">
        <f>MIN(I5:I19)</f>
        <v>2.8915618616934342</v>
      </c>
      <c r="J20" s="26">
        <f>MIN(J5:J19)</f>
        <v>1.7691232009105529</v>
      </c>
      <c r="K20" s="26">
        <f>MIN(K5:K19)</f>
        <v>0.62551586710490392</v>
      </c>
      <c r="L20" s="27">
        <f>MIN(L5:L19)</f>
        <v>1.9401175144820482</v>
      </c>
      <c r="M20" s="28">
        <f>AVERAGE(M5:M19)</f>
        <v>679.7521820350812</v>
      </c>
    </row>
    <row r="21" spans="1:13" ht="15.75" thickTop="1" x14ac:dyDescent="0.25">
      <c r="G21" s="14"/>
      <c r="H21" s="14"/>
      <c r="M21" s="3"/>
    </row>
    <row r="22" spans="1:13" x14ac:dyDescent="0.25">
      <c r="G22" s="14"/>
      <c r="H22" s="14"/>
      <c r="M22" s="3"/>
    </row>
    <row r="23" spans="1:13" x14ac:dyDescent="0.25">
      <c r="G23" s="14"/>
      <c r="H23" s="14"/>
      <c r="M23" s="3"/>
    </row>
    <row r="24" spans="1:13" x14ac:dyDescent="0.25">
      <c r="G24" s="14"/>
      <c r="H24" s="14"/>
      <c r="M24" s="3"/>
    </row>
    <row r="25" spans="1:13" x14ac:dyDescent="0.25">
      <c r="G25" s="14"/>
      <c r="H25" s="14"/>
      <c r="M25" s="3"/>
    </row>
    <row r="26" spans="1:13" x14ac:dyDescent="0.25">
      <c r="G26" s="14"/>
      <c r="H26" s="14"/>
    </row>
    <row r="27" spans="1:13" x14ac:dyDescent="0.25">
      <c r="G27" s="14"/>
      <c r="H27" s="14"/>
    </row>
    <row r="28" spans="1:13" x14ac:dyDescent="0.25">
      <c r="G28" s="14"/>
      <c r="H28" s="14"/>
    </row>
    <row r="29" spans="1:13" ht="18.75" x14ac:dyDescent="0.3">
      <c r="A29" s="4" t="s">
        <v>2</v>
      </c>
      <c r="B29" s="2" t="s">
        <v>16</v>
      </c>
    </row>
    <row r="31" spans="1:13" ht="15.75" thickBot="1" x14ac:dyDescent="0.3">
      <c r="A31" t="s">
        <v>4</v>
      </c>
    </row>
    <row r="32" spans="1:13" ht="15.75" thickTop="1" x14ac:dyDescent="0.25">
      <c r="H32" s="5" t="s">
        <v>5</v>
      </c>
      <c r="I32" s="6" t="s">
        <v>6</v>
      </c>
      <c r="J32" s="7"/>
      <c r="K32" s="7"/>
      <c r="L32" s="7"/>
      <c r="M32" s="5" t="s">
        <v>1</v>
      </c>
    </row>
    <row r="33" spans="1:13" ht="15.75" thickBot="1" x14ac:dyDescent="0.3">
      <c r="A33" s="8" t="s">
        <v>7</v>
      </c>
      <c r="B33" s="8" t="s">
        <v>8</v>
      </c>
      <c r="C33" s="8" t="s">
        <v>9</v>
      </c>
      <c r="D33" s="8" t="s">
        <v>3</v>
      </c>
      <c r="E33" s="8" t="s">
        <v>10</v>
      </c>
      <c r="F33" s="8"/>
      <c r="G33" s="1" t="s">
        <v>0</v>
      </c>
      <c r="H33" s="9"/>
      <c r="I33" s="10" t="s">
        <v>11</v>
      </c>
      <c r="J33" s="11" t="s">
        <v>12</v>
      </c>
      <c r="K33" s="11" t="s">
        <v>13</v>
      </c>
      <c r="L33" s="12" t="s">
        <v>14</v>
      </c>
      <c r="M33" s="9"/>
    </row>
    <row r="34" spans="1:13" ht="15.75" thickTop="1" x14ac:dyDescent="0.25">
      <c r="A34" s="13">
        <v>1</v>
      </c>
      <c r="B34" s="13">
        <v>-3.7389999999999999</v>
      </c>
      <c r="C34" s="13">
        <v>-3.004</v>
      </c>
      <c r="D34" s="13">
        <v>2.9460000000000002</v>
      </c>
      <c r="E34" s="13">
        <v>1</v>
      </c>
      <c r="F34" s="13" t="s">
        <v>15</v>
      </c>
      <c r="G34" s="14">
        <f>((B34)^2 + C34 -11)^2 + (B34 + (C34)^2 - 7)^2</f>
        <v>2.9417403268970008</v>
      </c>
      <c r="H34" s="15">
        <f>LOG(G34)</f>
        <v>0.46860433407030105</v>
      </c>
      <c r="I34" s="29">
        <f>SQRT((B34-3)^2 + (C34-2)^2)</f>
        <v>8.3936962656507887</v>
      </c>
      <c r="J34" s="16">
        <f>SQRT((B34-(-2.8051))^2 + (C34-3.1313)^2)</f>
        <v>6.2059709393454305</v>
      </c>
      <c r="K34" s="16">
        <f>SQRT((B34-(-3.7793))^2 + (C34-(-3.2831))^2)</f>
        <v>0.2819945034925328</v>
      </c>
      <c r="L34" s="16">
        <f>SQRT((B34-3.5844)^2+(C34-(-1.8481))^2)</f>
        <v>7.4140604509270087</v>
      </c>
      <c r="M34" s="30">
        <f t="shared" ref="M34:M48" si="7">ABS(D34-G34)</f>
        <v>4.2596731029993506E-3</v>
      </c>
    </row>
    <row r="35" spans="1:13" x14ac:dyDescent="0.25">
      <c r="A35" s="19">
        <v>2</v>
      </c>
      <c r="B35" s="19">
        <v>-3.1190000000000002</v>
      </c>
      <c r="C35" s="19">
        <v>2.8410000000000002</v>
      </c>
      <c r="D35" s="19">
        <v>6.6719999999999997</v>
      </c>
      <c r="E35" s="19">
        <v>1</v>
      </c>
      <c r="F35" s="20"/>
      <c r="G35" s="14">
        <f>((B35)^2 + C35 -11)^2 + (B35 + (C35)^2 - 7)^2</f>
        <v>6.6554193468819989</v>
      </c>
      <c r="H35" s="15">
        <f t="shared" ref="H35:H48" si="8">LOG(G35)</f>
        <v>0.82317542484438211</v>
      </c>
      <c r="I35" s="31">
        <f>SQRT((B35-3)^2 + (C35-2)^2)</f>
        <v>6.1765234557961488</v>
      </c>
      <c r="J35" s="21">
        <f t="shared" ref="J35:J48" si="9">SQRT((B35-(-2.8051))^2 + (C35-3.1313)^2)</f>
        <v>0.42755970343333344</v>
      </c>
      <c r="K35" s="21">
        <f t="shared" ref="K35:K48" si="10">SQRT((B35-(-3.7793))^2 + (C35-(-3.2831))^2)</f>
        <v>6.1595938908340386</v>
      </c>
      <c r="L35" s="21">
        <f t="shared" ref="L35:L48" si="11">SQRT((B35-3.5844)^2+(C35-(-1.8481))^2)</f>
        <v>8.1806619762706241</v>
      </c>
      <c r="M35" s="32">
        <f t="shared" si="7"/>
        <v>1.6580653118000832E-2</v>
      </c>
    </row>
    <row r="36" spans="1:13" x14ac:dyDescent="0.25">
      <c r="A36" s="19">
        <v>3</v>
      </c>
      <c r="B36" s="19">
        <v>-3.54</v>
      </c>
      <c r="C36" s="19">
        <v>-3.45</v>
      </c>
      <c r="D36" s="19">
        <v>5.5369999999999999</v>
      </c>
      <c r="E36" s="19">
        <v>1</v>
      </c>
      <c r="F36" s="20"/>
      <c r="G36" s="14">
        <f t="shared" ref="G36:G48" si="12">((B36)^2 + C36 -11)^2 + (B36 + (C36)^2 - 7)^2</f>
        <v>5.536664809999996</v>
      </c>
      <c r="H36" s="15">
        <f t="shared" si="8"/>
        <v>0.74324823209532775</v>
      </c>
      <c r="I36" s="31">
        <f>SQRT((B36-3)^2 + (C36-2)^2)</f>
        <v>8.5131721467382526</v>
      </c>
      <c r="J36" s="21">
        <f t="shared" si="9"/>
        <v>6.6222041421266988</v>
      </c>
      <c r="K36" s="21">
        <f t="shared" si="10"/>
        <v>0.29175349183857263</v>
      </c>
      <c r="L36" s="21">
        <f t="shared" si="11"/>
        <v>7.3022708091387569</v>
      </c>
      <c r="M36" s="32">
        <f t="shared" si="7"/>
        <v>3.3519000000392651E-4</v>
      </c>
    </row>
    <row r="37" spans="1:13" x14ac:dyDescent="0.25">
      <c r="A37" s="19">
        <v>4</v>
      </c>
      <c r="B37" s="19">
        <v>3.9</v>
      </c>
      <c r="C37" s="19">
        <v>-1.409</v>
      </c>
      <c r="D37" s="19">
        <v>9.0879999999999992</v>
      </c>
      <c r="E37" s="19">
        <v>1</v>
      </c>
      <c r="F37" s="20"/>
      <c r="G37" s="14">
        <f>((B37)^2 + C37 -11)^2 + (B37 + (C37)^2 - 7)^2</f>
        <v>9.0881994489609905</v>
      </c>
      <c r="H37" s="15">
        <f t="shared" si="8"/>
        <v>0.95847784946649239</v>
      </c>
      <c r="I37" s="31">
        <f>SQRT((B37-3)^2 + (C37-2)^2)</f>
        <v>3.5258021782283815</v>
      </c>
      <c r="J37" s="21">
        <f t="shared" si="9"/>
        <v>8.0976965922415243</v>
      </c>
      <c r="K37" s="21">
        <f t="shared" si="10"/>
        <v>7.9046757871528159</v>
      </c>
      <c r="L37" s="21">
        <f t="shared" si="11"/>
        <v>0.54075148635949211</v>
      </c>
      <c r="M37" s="32">
        <f t="shared" si="7"/>
        <v>1.9944896099133302E-4</v>
      </c>
    </row>
    <row r="38" spans="1:13" x14ac:dyDescent="0.25">
      <c r="A38" s="19">
        <v>5</v>
      </c>
      <c r="B38" s="19">
        <v>3.7879999999999998</v>
      </c>
      <c r="C38" s="19">
        <v>-2.1230000000000002</v>
      </c>
      <c r="D38" s="19">
        <v>3.165</v>
      </c>
      <c r="E38" s="19">
        <v>1</v>
      </c>
      <c r="F38" s="20"/>
      <c r="G38" s="14">
        <f t="shared" si="12"/>
        <v>3.1802978177769989</v>
      </c>
      <c r="H38" s="15">
        <f t="shared" si="8"/>
        <v>0.50246779123001373</v>
      </c>
      <c r="I38" s="31">
        <f>SQRT((B38-3)^2 + (C38-2)^2)</f>
        <v>4.1976270677610232</v>
      </c>
      <c r="J38" s="21">
        <f t="shared" si="9"/>
        <v>8.4306960626036087</v>
      </c>
      <c r="K38" s="21">
        <f t="shared" si="10"/>
        <v>7.6557077595738976</v>
      </c>
      <c r="L38" s="21">
        <f t="shared" si="11"/>
        <v>0.34208620258642408</v>
      </c>
      <c r="M38" s="32">
        <f t="shared" si="7"/>
        <v>1.5297817776998901E-2</v>
      </c>
    </row>
    <row r="39" spans="1:13" x14ac:dyDescent="0.25">
      <c r="A39" s="19">
        <v>6</v>
      </c>
      <c r="B39" s="19">
        <v>-3.45</v>
      </c>
      <c r="C39" s="19">
        <v>3.21</v>
      </c>
      <c r="D39" s="19">
        <v>16.934000000000001</v>
      </c>
      <c r="E39" s="19">
        <v>1</v>
      </c>
      <c r="F39" s="20"/>
      <c r="G39" s="14">
        <f t="shared" si="12"/>
        <v>16.933943060000004</v>
      </c>
      <c r="H39" s="15">
        <f t="shared" si="8"/>
        <v>1.2287580951327319</v>
      </c>
      <c r="I39" s="31">
        <f t="shared" ref="I39:I47" si="13">SQRT((B39-3)^2 + (C39-2)^2)</f>
        <v>6.562514761888159</v>
      </c>
      <c r="J39" s="21">
        <f t="shared" si="9"/>
        <v>0.64968430795271659</v>
      </c>
      <c r="K39" s="21">
        <f t="shared" si="10"/>
        <v>6.5014449240149688</v>
      </c>
      <c r="L39" s="21">
        <f t="shared" si="11"/>
        <v>8.6641305951607173</v>
      </c>
      <c r="M39" s="32">
        <f t="shared" si="7"/>
        <v>5.6939999996785673E-5</v>
      </c>
    </row>
    <row r="40" spans="1:13" x14ac:dyDescent="0.25">
      <c r="A40" s="19">
        <v>7</v>
      </c>
      <c r="B40" s="19">
        <v>-2.9319999999999999</v>
      </c>
      <c r="C40" s="19">
        <v>3.4870000000000001</v>
      </c>
      <c r="D40" s="19">
        <v>6.15</v>
      </c>
      <c r="E40" s="19">
        <v>1</v>
      </c>
      <c r="F40" s="20"/>
      <c r="G40" s="14">
        <f t="shared" si="12"/>
        <v>6.134522727937</v>
      </c>
      <c r="H40" s="15">
        <f t="shared" si="8"/>
        <v>0.78778077982809502</v>
      </c>
      <c r="I40" s="31">
        <f>SQRT((B40-3)^2 + (C40-2)^2)</f>
        <v>6.1155370164851428</v>
      </c>
      <c r="J40" s="21">
        <f t="shared" si="9"/>
        <v>0.37765870835981008</v>
      </c>
      <c r="K40" s="21">
        <f t="shared" si="10"/>
        <v>6.8229151614247705</v>
      </c>
      <c r="L40" s="21">
        <f t="shared" si="11"/>
        <v>8.4218027149773587</v>
      </c>
      <c r="M40" s="32">
        <f t="shared" si="7"/>
        <v>1.5477272063000314E-2</v>
      </c>
    </row>
    <row r="41" spans="1:13" x14ac:dyDescent="0.25">
      <c r="A41" s="19">
        <v>8</v>
      </c>
      <c r="B41" s="19">
        <v>3.653</v>
      </c>
      <c r="C41" s="19">
        <v>-1.1890000000000001</v>
      </c>
      <c r="D41" s="19">
        <v>5.0720000000000001</v>
      </c>
      <c r="E41" s="19">
        <v>1</v>
      </c>
      <c r="F41" s="20"/>
      <c r="G41" s="14">
        <f t="shared" si="12"/>
        <v>5.0725376491220002</v>
      </c>
      <c r="H41" s="15">
        <f t="shared" si="8"/>
        <v>0.705225279114995</v>
      </c>
      <c r="I41" s="31">
        <f t="shared" si="13"/>
        <v>3.2551697344378221</v>
      </c>
      <c r="J41" s="21">
        <f t="shared" si="9"/>
        <v>7.7699451542465852</v>
      </c>
      <c r="K41" s="21">
        <f t="shared" si="10"/>
        <v>7.721679746013816</v>
      </c>
      <c r="L41" s="21">
        <f t="shared" si="11"/>
        <v>0.6626603730418773</v>
      </c>
      <c r="M41" s="32">
        <f t="shared" si="7"/>
        <v>5.3764912200016113E-4</v>
      </c>
    </row>
    <row r="42" spans="1:13" x14ac:dyDescent="0.25">
      <c r="A42" s="19">
        <v>9</v>
      </c>
      <c r="B42" s="19">
        <v>-2.7</v>
      </c>
      <c r="C42" s="19">
        <v>2.46</v>
      </c>
      <c r="D42" s="19">
        <v>14.872999999999999</v>
      </c>
      <c r="E42" s="19">
        <v>1</v>
      </c>
      <c r="F42" s="20"/>
      <c r="G42" s="14">
        <f t="shared" si="12"/>
        <v>14.873322560000004</v>
      </c>
      <c r="H42" s="15">
        <f t="shared" si="8"/>
        <v>1.1724079966516721</v>
      </c>
      <c r="I42" s="31">
        <f t="shared" si="13"/>
        <v>5.7185312799704082</v>
      </c>
      <c r="J42" s="21">
        <f t="shared" si="9"/>
        <v>0.67947751986360805</v>
      </c>
      <c r="K42" s="21">
        <f t="shared" si="10"/>
        <v>5.8436363764354811</v>
      </c>
      <c r="L42" s="21">
        <f t="shared" si="11"/>
        <v>7.6192787696736755</v>
      </c>
      <c r="M42" s="32">
        <f t="shared" si="7"/>
        <v>3.2256000000430163E-4</v>
      </c>
    </row>
    <row r="43" spans="1:13" x14ac:dyDescent="0.25">
      <c r="A43" s="19">
        <v>10</v>
      </c>
      <c r="B43" s="19">
        <v>2.5499999999999998</v>
      </c>
      <c r="C43" s="19">
        <v>1.53</v>
      </c>
      <c r="D43" s="19">
        <v>13.254</v>
      </c>
      <c r="E43" s="19">
        <v>1</v>
      </c>
      <c r="F43" s="20"/>
      <c r="G43" s="14">
        <f t="shared" si="12"/>
        <v>13.254359060000006</v>
      </c>
      <c r="H43" s="15">
        <f t="shared" si="8"/>
        <v>1.1223587314327217</v>
      </c>
      <c r="I43" s="31">
        <f t="shared" si="13"/>
        <v>0.65069193939989767</v>
      </c>
      <c r="J43" s="21">
        <f t="shared" si="9"/>
        <v>5.5893879539713467</v>
      </c>
      <c r="K43" s="21">
        <f t="shared" si="10"/>
        <v>7.9514759699064674</v>
      </c>
      <c r="L43" s="21">
        <f t="shared" si="11"/>
        <v>3.5329227234684883</v>
      </c>
      <c r="M43" s="32">
        <f t="shared" si="7"/>
        <v>3.590600000062949E-4</v>
      </c>
    </row>
    <row r="44" spans="1:13" x14ac:dyDescent="0.25">
      <c r="A44" s="19">
        <v>11</v>
      </c>
      <c r="B44" s="19">
        <v>-4.2</v>
      </c>
      <c r="C44" s="19">
        <v>-3.4340000000000002</v>
      </c>
      <c r="D44" s="19">
        <v>10.63</v>
      </c>
      <c r="E44" s="19">
        <v>1</v>
      </c>
      <c r="F44" s="20"/>
      <c r="G44" s="14">
        <f t="shared" si="12"/>
        <v>10.629321630735999</v>
      </c>
      <c r="H44" s="15">
        <f t="shared" si="8"/>
        <v>1.026505548490465</v>
      </c>
      <c r="I44" s="31">
        <f t="shared" si="13"/>
        <v>9.0204410091746627</v>
      </c>
      <c r="J44" s="21">
        <f t="shared" si="9"/>
        <v>6.7118484860729692</v>
      </c>
      <c r="K44" s="21">
        <f t="shared" si="10"/>
        <v>0.44694440370140004</v>
      </c>
      <c r="L44" s="21">
        <f t="shared" si="11"/>
        <v>7.9443037561513217</v>
      </c>
      <c r="M44" s="32">
        <f t="shared" si="7"/>
        <v>6.7836926400133279E-4</v>
      </c>
    </row>
    <row r="45" spans="1:13" x14ac:dyDescent="0.25">
      <c r="A45" s="19">
        <v>12</v>
      </c>
      <c r="B45" s="19">
        <v>2.3340000000000001</v>
      </c>
      <c r="C45" s="19">
        <v>2.3149999999999999</v>
      </c>
      <c r="D45" s="19">
        <v>10.973000000000001</v>
      </c>
      <c r="E45" s="19">
        <v>1</v>
      </c>
      <c r="F45" s="20"/>
      <c r="G45" s="14">
        <f t="shared" si="12"/>
        <v>10.961604553760999</v>
      </c>
      <c r="H45" s="15">
        <f t="shared" si="8"/>
        <v>1.0398741305935739</v>
      </c>
      <c r="I45" s="31">
        <f t="shared" si="13"/>
        <v>0.73673672366728116</v>
      </c>
      <c r="J45" s="21">
        <f t="shared" si="9"/>
        <v>5.2035271210977658</v>
      </c>
      <c r="K45" s="21">
        <f t="shared" si="10"/>
        <v>8.2892195350346469</v>
      </c>
      <c r="L45" s="21">
        <f t="shared" si="11"/>
        <v>4.346826632153622</v>
      </c>
      <c r="M45" s="32">
        <f t="shared" si="7"/>
        <v>1.1395446239001572E-2</v>
      </c>
    </row>
    <row r="46" spans="1:13" x14ac:dyDescent="0.25">
      <c r="A46" s="19">
        <v>13</v>
      </c>
      <c r="B46" s="19">
        <v>4.0199999999999996</v>
      </c>
      <c r="C46" s="19">
        <v>-0.9</v>
      </c>
      <c r="D46" s="19">
        <v>22.86</v>
      </c>
      <c r="E46" s="19">
        <v>1</v>
      </c>
      <c r="F46" s="20"/>
      <c r="G46" s="14">
        <f t="shared" si="12"/>
        <v>22.859908159999961</v>
      </c>
      <c r="H46" s="15">
        <f t="shared" si="8"/>
        <v>1.3590744812786262</v>
      </c>
      <c r="I46" s="31">
        <f t="shared" si="13"/>
        <v>3.0741502891042916</v>
      </c>
      <c r="J46" s="21">
        <f t="shared" si="9"/>
        <v>7.9267502609833738</v>
      </c>
      <c r="K46" s="21">
        <f t="shared" si="10"/>
        <v>8.1552588003079336</v>
      </c>
      <c r="L46" s="21">
        <f t="shared" si="11"/>
        <v>1.0433795905613641</v>
      </c>
      <c r="M46" s="32">
        <f t="shared" si="7"/>
        <v>9.1840000038700964E-5</v>
      </c>
    </row>
    <row r="47" spans="1:13" x14ac:dyDescent="0.25">
      <c r="A47" s="19">
        <v>14</v>
      </c>
      <c r="B47" s="19">
        <v>-4.242</v>
      </c>
      <c r="C47" s="19">
        <v>-3.3119999999999998</v>
      </c>
      <c r="D47" s="19">
        <v>13.635999999999999</v>
      </c>
      <c r="E47" s="19">
        <v>1</v>
      </c>
      <c r="F47" s="20"/>
      <c r="G47" s="14">
        <f t="shared" si="12"/>
        <v>13.635618908432008</v>
      </c>
      <c r="H47" s="15">
        <f t="shared" si="8"/>
        <v>1.1346748549594747</v>
      </c>
      <c r="I47" s="31">
        <f t="shared" si="13"/>
        <v>8.9813088133077787</v>
      </c>
      <c r="J47" s="21">
        <f t="shared" si="9"/>
        <v>6.6015753044254515</v>
      </c>
      <c r="K47" s="21">
        <f t="shared" si="10"/>
        <v>0.46360166091160621</v>
      </c>
      <c r="L47" s="21">
        <f t="shared" si="11"/>
        <v>7.9621316348073519</v>
      </c>
      <c r="M47" s="32">
        <f t="shared" si="7"/>
        <v>3.8109156799137622E-4</v>
      </c>
    </row>
    <row r="48" spans="1:13" ht="15.75" thickBot="1" x14ac:dyDescent="0.3">
      <c r="A48" s="19">
        <v>15</v>
      </c>
      <c r="B48" s="19">
        <v>-3.423</v>
      </c>
      <c r="C48" s="19">
        <v>-3.0760000000000001</v>
      </c>
      <c r="D48" s="19">
        <v>6.4889999999999999</v>
      </c>
      <c r="E48" s="19">
        <v>1</v>
      </c>
      <c r="F48" s="20"/>
      <c r="G48" s="14">
        <f t="shared" si="12"/>
        <v>6.4891675612170001</v>
      </c>
      <c r="H48" s="15">
        <f t="shared" si="8"/>
        <v>0.81218898851726562</v>
      </c>
      <c r="I48" s="31">
        <f>SQRT((B48-3)^2 + (C48-2)^2)</f>
        <v>8.1866174333481592</v>
      </c>
      <c r="J48" s="21">
        <f t="shared" si="9"/>
        <v>6.2379783343644277</v>
      </c>
      <c r="K48" s="21">
        <f t="shared" si="10"/>
        <v>0.41211660971137776</v>
      </c>
      <c r="L48" s="21">
        <f t="shared" si="11"/>
        <v>7.1141684805745227</v>
      </c>
      <c r="M48" s="32">
        <f t="shared" si="7"/>
        <v>1.6756121700023385E-4</v>
      </c>
    </row>
    <row r="49" spans="1:13" ht="16.5" thickTop="1" thickBot="1" x14ac:dyDescent="0.3">
      <c r="G49" s="25">
        <f>MIN(G34:G48)</f>
        <v>2.9417403268970008</v>
      </c>
      <c r="I49" s="25">
        <f>MIN(I34:I48)</f>
        <v>0.65069193939989767</v>
      </c>
      <c r="J49" s="26">
        <f>MIN(J34:J48)</f>
        <v>0.37765870835981008</v>
      </c>
      <c r="K49" s="26">
        <f>MIN(K34:K48)</f>
        <v>0.2819945034925328</v>
      </c>
      <c r="L49" s="27">
        <f>MIN(L34:L48)</f>
        <v>0.34208620258642408</v>
      </c>
      <c r="M49" s="28">
        <f>AVERAGE(M34:M48)</f>
        <v>4.4093714954690274E-3</v>
      </c>
    </row>
    <row r="50" spans="1:13" ht="15.75" thickTop="1" x14ac:dyDescent="0.25"/>
    <row r="51" spans="1:13" x14ac:dyDescent="0.25">
      <c r="M51" s="33" t="s">
        <v>17</v>
      </c>
    </row>
    <row r="57" spans="1:13" ht="18.75" x14ac:dyDescent="0.3">
      <c r="A57" s="4" t="s">
        <v>2</v>
      </c>
      <c r="B57" s="2" t="s">
        <v>18</v>
      </c>
    </row>
    <row r="59" spans="1:13" ht="15.75" thickBot="1" x14ac:dyDescent="0.3">
      <c r="A59" t="s">
        <v>4</v>
      </c>
    </row>
    <row r="60" spans="1:13" ht="15.75" thickTop="1" x14ac:dyDescent="0.25">
      <c r="H60" s="5" t="s">
        <v>5</v>
      </c>
      <c r="I60" s="6" t="s">
        <v>6</v>
      </c>
      <c r="J60" s="7"/>
      <c r="K60" s="7"/>
      <c r="L60" s="7"/>
      <c r="M60" s="5" t="s">
        <v>1</v>
      </c>
    </row>
    <row r="61" spans="1:13" ht="15.75" thickBot="1" x14ac:dyDescent="0.3">
      <c r="A61" s="8" t="s">
        <v>7</v>
      </c>
      <c r="B61" s="8" t="s">
        <v>8</v>
      </c>
      <c r="C61" s="8" t="s">
        <v>9</v>
      </c>
      <c r="D61" s="8" t="s">
        <v>3</v>
      </c>
      <c r="E61" s="8" t="s">
        <v>10</v>
      </c>
      <c r="F61" s="8"/>
      <c r="G61" s="1" t="s">
        <v>0</v>
      </c>
      <c r="H61" s="9"/>
      <c r="I61" s="10" t="s">
        <v>11</v>
      </c>
      <c r="J61" s="11" t="s">
        <v>12</v>
      </c>
      <c r="K61" s="11" t="s">
        <v>13</v>
      </c>
      <c r="L61" s="12" t="s">
        <v>14</v>
      </c>
      <c r="M61" s="9"/>
    </row>
    <row r="62" spans="1:13" ht="15.75" thickTop="1" x14ac:dyDescent="0.25">
      <c r="A62" s="13">
        <v>1</v>
      </c>
      <c r="B62" s="13">
        <v>-3.6520000000000001</v>
      </c>
      <c r="C62" s="13">
        <v>-3.4279999999999999</v>
      </c>
      <c r="D62" s="13">
        <v>2.3959999999999999</v>
      </c>
      <c r="E62" s="13">
        <v>1</v>
      </c>
      <c r="F62" s="13" t="s">
        <v>15</v>
      </c>
      <c r="G62" s="14">
        <f>((B62)^2 + C62 -11)^2 + (B62 + (C62)^2 - 7)^2</f>
        <v>2.3982595486719962</v>
      </c>
      <c r="H62" s="15">
        <f>LOG(G62)</f>
        <v>0.37989618228922351</v>
      </c>
      <c r="I62" s="29">
        <f>SQRT((B62-3)^2 + (C62-2)^2)</f>
        <v>8.5855860603688559</v>
      </c>
      <c r="J62" s="16">
        <f>SQRT((B62-(-2.8051))^2 + (C62-3.1313)^2)</f>
        <v>6.6137475080320387</v>
      </c>
      <c r="K62" s="16">
        <f>SQRT((B62-(-3.7793))^2 + (C62-(-3.2831))^2)</f>
        <v>0.1928763852834243</v>
      </c>
      <c r="L62" s="16">
        <f>SQRT((B62-3.5844)^2+(C62-(-1.8481))^2)</f>
        <v>7.4068595889216091</v>
      </c>
      <c r="M62" s="30">
        <f t="shared" ref="M62:M76" si="14">ABS(D62-G62)</f>
        <v>2.2595486719962921E-3</v>
      </c>
    </row>
    <row r="63" spans="1:13" x14ac:dyDescent="0.25">
      <c r="A63" s="19">
        <v>2</v>
      </c>
      <c r="B63" s="19">
        <v>3.4950000000000001</v>
      </c>
      <c r="C63" s="19">
        <v>-1.988</v>
      </c>
      <c r="D63" s="19">
        <v>0.79500000000000004</v>
      </c>
      <c r="E63" s="19">
        <v>1</v>
      </c>
      <c r="F63" s="20"/>
      <c r="G63" s="14">
        <f>((B63)^2 + C63 -11)^2 + (B63 + (C63)^2 - 7)^2</f>
        <v>0.79742810736099801</v>
      </c>
      <c r="H63" s="15">
        <f t="shared" ref="H63:H76" si="15">LOG(G63)</f>
        <v>-9.8308460601579217E-2</v>
      </c>
      <c r="I63" s="31">
        <f>SQRT((B63-3)^2 + (C63-2)^2)</f>
        <v>4.0186028666689619</v>
      </c>
      <c r="J63" s="21">
        <f t="shared" ref="J63:J76" si="16">SQRT((B63-(-2.8051))^2 + (C63-3.1313)^2)</f>
        <v>8.1177886459306148</v>
      </c>
      <c r="K63" s="21">
        <f t="shared" ref="K63:K76" si="17">SQRT((B63-(-3.7793))^2 + (C63-(-3.2831))^2)</f>
        <v>7.3886889567771092</v>
      </c>
      <c r="L63" s="21">
        <f t="shared" ref="L63:L76" si="18">SQRT((B63-3.5844)^2+(C63-(-1.8481))^2)</f>
        <v>0.16602520892924652</v>
      </c>
      <c r="M63" s="32">
        <f t="shared" si="14"/>
        <v>2.4281073609979664E-3</v>
      </c>
    </row>
    <row r="64" spans="1:13" x14ac:dyDescent="0.25">
      <c r="A64" s="19">
        <v>3</v>
      </c>
      <c r="B64" s="19">
        <v>-3.6669999999999998</v>
      </c>
      <c r="C64" s="19">
        <v>-3.1230000000000002</v>
      </c>
      <c r="D64" s="19">
        <v>1.296</v>
      </c>
      <c r="E64" s="19">
        <v>1</v>
      </c>
      <c r="F64" s="20"/>
      <c r="G64" s="14">
        <f>((B64)^2 + C64 -11)^2 + (B64 + (C64)^2 - 7)^2</f>
        <v>1.2922862889620006</v>
      </c>
      <c r="H64" s="15">
        <f t="shared" si="15"/>
        <v>0.11135873652529055</v>
      </c>
      <c r="I64" s="31">
        <f>SQRT((B64-3)^2 + (C64-2)^2)</f>
        <v>8.4079734775985102</v>
      </c>
      <c r="J64" s="21">
        <f t="shared" si="16"/>
        <v>6.3134095463544906</v>
      </c>
      <c r="K64" s="21">
        <f t="shared" si="17"/>
        <v>0.19555894252117451</v>
      </c>
      <c r="L64" s="21">
        <f t="shared" si="18"/>
        <v>7.362619912096509</v>
      </c>
      <c r="M64" s="32">
        <f t="shared" si="14"/>
        <v>3.7137110379994454E-3</v>
      </c>
    </row>
    <row r="65" spans="1:13" x14ac:dyDescent="0.25">
      <c r="A65" s="19">
        <v>4</v>
      </c>
      <c r="B65" s="19">
        <v>-2.7629999999999999</v>
      </c>
      <c r="C65" s="19">
        <v>3.2650000000000001</v>
      </c>
      <c r="D65" s="19">
        <v>0.82099999999999995</v>
      </c>
      <c r="E65" s="19">
        <v>1</v>
      </c>
      <c r="F65" s="20"/>
      <c r="G65" s="14">
        <f>((B65)^2 + C65 -11)^2 + (B65 + (C65)^2 - 7)^2</f>
        <v>0.81517959118600136</v>
      </c>
      <c r="H65" s="15">
        <f t="shared" si="15"/>
        <v>-8.8746701850321422E-2</v>
      </c>
      <c r="I65" s="31">
        <f>SQRT((B65-3)^2 + (C65-2)^2)</f>
        <v>5.9002028778678444</v>
      </c>
      <c r="J65" s="21">
        <f t="shared" si="16"/>
        <v>0.14017168044936909</v>
      </c>
      <c r="K65" s="21">
        <f t="shared" si="17"/>
        <v>6.6264982683163813</v>
      </c>
      <c r="L65" s="21">
        <f t="shared" si="18"/>
        <v>8.1506612228702036</v>
      </c>
      <c r="M65" s="32">
        <f t="shared" si="14"/>
        <v>5.8204088139985899E-3</v>
      </c>
    </row>
    <row r="66" spans="1:13" x14ac:dyDescent="0.25">
      <c r="A66" s="19">
        <v>5</v>
      </c>
      <c r="B66" s="19">
        <v>3.1629999999999998</v>
      </c>
      <c r="C66" s="19">
        <v>2.2160000000000002</v>
      </c>
      <c r="D66" s="19">
        <v>2.653</v>
      </c>
      <c r="E66" s="19">
        <v>1</v>
      </c>
      <c r="F66" s="20"/>
      <c r="G66" s="14">
        <f t="shared" ref="G66:G76" si="19">((B66)^2 + C66 -11)^2 + (B66 + (C66)^2 - 7)^2</f>
        <v>2.6425258900969975</v>
      </c>
      <c r="H66" s="15">
        <f t="shared" si="15"/>
        <v>0.42201925099220966</v>
      </c>
      <c r="I66" s="31">
        <f>SQRT((B66-3)^2 + (C66-2)^2)</f>
        <v>0.27060118255469623</v>
      </c>
      <c r="J66" s="21">
        <f t="shared" si="16"/>
        <v>6.0378797354700593</v>
      </c>
      <c r="K66" s="21">
        <f t="shared" si="17"/>
        <v>8.8563892247348743</v>
      </c>
      <c r="L66" s="21">
        <f t="shared" si="18"/>
        <v>4.0858887368600731</v>
      </c>
      <c r="M66" s="32">
        <f t="shared" si="14"/>
        <v>1.0474109903002571E-2</v>
      </c>
    </row>
    <row r="67" spans="1:13" x14ac:dyDescent="0.25">
      <c r="A67" s="19">
        <v>6</v>
      </c>
      <c r="B67" s="19">
        <v>3.1110000000000002</v>
      </c>
      <c r="C67" s="19">
        <v>1.7290000000000001</v>
      </c>
      <c r="D67" s="19">
        <v>0.97599999999999998</v>
      </c>
      <c r="E67" s="19">
        <v>1</v>
      </c>
      <c r="F67" s="20"/>
      <c r="G67" s="14">
        <f t="shared" si="19"/>
        <v>0.97511679152200248</v>
      </c>
      <c r="H67" s="15">
        <f t="shared" si="15"/>
        <v>-1.0943364941576729E-2</v>
      </c>
      <c r="I67" s="31">
        <f t="shared" ref="I67" si="20">SQRT((B67-3)^2 + (C67-2)^2)</f>
        <v>0.29285149820344097</v>
      </c>
      <c r="J67" s="21">
        <f t="shared" si="16"/>
        <v>6.0800233963365642</v>
      </c>
      <c r="K67" s="21">
        <f t="shared" si="17"/>
        <v>8.5204096439079731</v>
      </c>
      <c r="L67" s="21">
        <f t="shared" si="18"/>
        <v>3.608289341225285</v>
      </c>
      <c r="M67" s="32">
        <f t="shared" si="14"/>
        <v>8.8320847799749913E-4</v>
      </c>
    </row>
    <row r="68" spans="1:13" x14ac:dyDescent="0.25">
      <c r="A68" s="19">
        <v>7</v>
      </c>
      <c r="B68" s="19">
        <v>3.6</v>
      </c>
      <c r="C68" s="19">
        <v>-1.5589999999999999</v>
      </c>
      <c r="D68" s="19">
        <v>1.101</v>
      </c>
      <c r="E68" s="19">
        <v>1</v>
      </c>
      <c r="F68" s="20"/>
      <c r="G68" s="14">
        <f t="shared" si="19"/>
        <v>1.1007680913610012</v>
      </c>
      <c r="H68" s="15">
        <f t="shared" si="15"/>
        <v>4.1695831913700097E-2</v>
      </c>
      <c r="I68" s="31">
        <f>SQRT((B68-3)^2 + (C68-2)^2)</f>
        <v>3.6092216612449839</v>
      </c>
      <c r="J68" s="21">
        <f t="shared" si="16"/>
        <v>7.938779509471213</v>
      </c>
      <c r="K68" s="21">
        <f t="shared" si="17"/>
        <v>7.5780333398580408</v>
      </c>
      <c r="L68" s="21">
        <f t="shared" si="18"/>
        <v>0.28952058648738621</v>
      </c>
      <c r="M68" s="32">
        <f t="shared" si="14"/>
        <v>2.3190863899880121E-4</v>
      </c>
    </row>
    <row r="69" spans="1:13" x14ac:dyDescent="0.25">
      <c r="A69" s="19">
        <v>8</v>
      </c>
      <c r="B69" s="19">
        <v>-2.9830000000000001</v>
      </c>
      <c r="C69" s="19">
        <v>3.0569999999999999</v>
      </c>
      <c r="D69" s="19">
        <v>1.3220000000000001</v>
      </c>
      <c r="E69" s="19">
        <v>1</v>
      </c>
      <c r="F69" s="20"/>
      <c r="G69" s="14">
        <f t="shared" si="19"/>
        <v>1.3193034115220028</v>
      </c>
      <c r="H69" s="15">
        <f t="shared" si="15"/>
        <v>0.1203446854602828</v>
      </c>
      <c r="I69" s="31">
        <f t="shared" ref="I69:I75" si="21">SQRT((B69-3)^2 + (C69-2)^2)</f>
        <v>6.0756512408136141</v>
      </c>
      <c r="J69" s="21">
        <f t="shared" si="16"/>
        <v>0.19279237536790728</v>
      </c>
      <c r="K69" s="21">
        <f t="shared" si="17"/>
        <v>6.389910930521645</v>
      </c>
      <c r="L69" s="21">
        <f t="shared" si="18"/>
        <v>8.196996326094089</v>
      </c>
      <c r="M69" s="32">
        <f t="shared" si="14"/>
        <v>2.6965884779972527E-3</v>
      </c>
    </row>
    <row r="70" spans="1:13" x14ac:dyDescent="0.25">
      <c r="A70" s="19">
        <v>9</v>
      </c>
      <c r="B70" s="19">
        <v>-3.073</v>
      </c>
      <c r="C70" s="19">
        <v>3.0329999999999999</v>
      </c>
      <c r="D70" s="19">
        <v>2.9359999999999999</v>
      </c>
      <c r="E70" s="19">
        <v>1</v>
      </c>
      <c r="F70" s="20"/>
      <c r="G70" s="14">
        <f t="shared" si="19"/>
        <v>2.9432677521620021</v>
      </c>
      <c r="H70" s="15">
        <f t="shared" si="15"/>
        <v>0.46882977212241367</v>
      </c>
      <c r="I70" s="31">
        <f t="shared" si="21"/>
        <v>6.1602287295197096</v>
      </c>
      <c r="J70" s="21">
        <f t="shared" si="16"/>
        <v>0.28536520460630799</v>
      </c>
      <c r="K70" s="21">
        <f t="shared" si="17"/>
        <v>6.3554684249077988</v>
      </c>
      <c r="L70" s="21">
        <f t="shared" si="18"/>
        <v>8.2550658368059064</v>
      </c>
      <c r="M70" s="32">
        <f t="shared" si="14"/>
        <v>7.2677521620021501E-3</v>
      </c>
    </row>
    <row r="71" spans="1:13" x14ac:dyDescent="0.25">
      <c r="A71" s="19">
        <v>10</v>
      </c>
      <c r="B71" s="19">
        <v>3.5390000000000001</v>
      </c>
      <c r="C71" s="19">
        <v>-1.6</v>
      </c>
      <c r="D71" s="19">
        <v>0.81799999999999995</v>
      </c>
      <c r="E71" s="19">
        <v>1</v>
      </c>
      <c r="F71" s="20"/>
      <c r="G71" s="14">
        <f t="shared" si="19"/>
        <v>0.81749807944099939</v>
      </c>
      <c r="H71" s="15">
        <f t="shared" si="15"/>
        <v>-8.751325896022176E-2</v>
      </c>
      <c r="I71" s="31">
        <f t="shared" si="21"/>
        <v>3.6401265087905945</v>
      </c>
      <c r="J71" s="21">
        <f t="shared" si="16"/>
        <v>7.9140889873692979</v>
      </c>
      <c r="K71" s="21">
        <f t="shared" si="17"/>
        <v>7.5093502049112084</v>
      </c>
      <c r="L71" s="21">
        <f t="shared" si="18"/>
        <v>0.2522196859882273</v>
      </c>
      <c r="M71" s="32">
        <f t="shared" si="14"/>
        <v>5.019205590005571E-4</v>
      </c>
    </row>
    <row r="72" spans="1:13" x14ac:dyDescent="0.25">
      <c r="A72" s="19">
        <v>11</v>
      </c>
      <c r="B72" s="19">
        <v>-3.9790000000000001</v>
      </c>
      <c r="C72" s="19">
        <v>-3.387</v>
      </c>
      <c r="D72" s="19">
        <v>2.343</v>
      </c>
      <c r="E72" s="19">
        <v>1</v>
      </c>
      <c r="F72" s="20"/>
      <c r="G72" s="14">
        <f t="shared" si="19"/>
        <v>2.3321209718420017</v>
      </c>
      <c r="H72" s="15">
        <f t="shared" si="15"/>
        <v>0.3677510744063644</v>
      </c>
      <c r="I72" s="31">
        <f t="shared" si="21"/>
        <v>8.8162469339282925</v>
      </c>
      <c r="J72" s="21">
        <f t="shared" si="16"/>
        <v>6.6231620922335885</v>
      </c>
      <c r="K72" s="21">
        <f t="shared" si="17"/>
        <v>0.22511175002651454</v>
      </c>
      <c r="L72" s="21">
        <f t="shared" si="18"/>
        <v>7.7183698259412266</v>
      </c>
      <c r="M72" s="32">
        <f t="shared" si="14"/>
        <v>1.0879028157998238E-2</v>
      </c>
    </row>
    <row r="73" spans="1:13" x14ac:dyDescent="0.25">
      <c r="A73" s="19">
        <v>12</v>
      </c>
      <c r="B73" s="19">
        <v>-3.7269999999999999</v>
      </c>
      <c r="C73" s="19">
        <v>-3.3279999999999998</v>
      </c>
      <c r="D73" s="19">
        <v>0.317</v>
      </c>
      <c r="E73" s="19">
        <v>1</v>
      </c>
      <c r="F73" s="20"/>
      <c r="G73" s="14">
        <f t="shared" si="19"/>
        <v>0.31289168089699959</v>
      </c>
      <c r="H73" s="15">
        <f t="shared" si="15"/>
        <v>-0.50460598363730658</v>
      </c>
      <c r="I73" s="31">
        <f t="shared" si="21"/>
        <v>8.5813817651937612</v>
      </c>
      <c r="J73" s="21">
        <f t="shared" si="16"/>
        <v>6.5247571678952161</v>
      </c>
      <c r="K73" s="21">
        <f t="shared" si="17"/>
        <v>6.8929674306498795E-2</v>
      </c>
      <c r="L73" s="21">
        <f t="shared" si="18"/>
        <v>7.4596698298249091</v>
      </c>
      <c r="M73" s="32">
        <f t="shared" si="14"/>
        <v>4.1083191030004129E-3</v>
      </c>
    </row>
    <row r="74" spans="1:13" x14ac:dyDescent="0.25">
      <c r="A74" s="19">
        <v>13</v>
      </c>
      <c r="B74" s="19">
        <v>3.6539999999999999</v>
      </c>
      <c r="C74" s="19">
        <v>-1.5049999999999999</v>
      </c>
      <c r="D74" s="19">
        <v>1.8919999999999999</v>
      </c>
      <c r="E74" s="19">
        <v>1</v>
      </c>
      <c r="F74" s="20"/>
      <c r="G74" s="14">
        <f t="shared" si="19"/>
        <v>1.885434935281002</v>
      </c>
      <c r="H74" s="15">
        <f t="shared" si="15"/>
        <v>0.27541154987556193</v>
      </c>
      <c r="I74" s="31">
        <f t="shared" si="21"/>
        <v>3.5654930935285796</v>
      </c>
      <c r="J74" s="21">
        <f t="shared" si="16"/>
        <v>7.9508018777982388</v>
      </c>
      <c r="K74" s="21">
        <f t="shared" si="17"/>
        <v>7.6430091259921973</v>
      </c>
      <c r="L74" s="21">
        <f t="shared" si="18"/>
        <v>0.35008823173594411</v>
      </c>
      <c r="M74" s="32">
        <f t="shared" si="14"/>
        <v>6.5650647189978706E-3</v>
      </c>
    </row>
    <row r="75" spans="1:13" x14ac:dyDescent="0.25">
      <c r="A75" s="19">
        <v>14</v>
      </c>
      <c r="B75" s="19">
        <v>3.5590000000000002</v>
      </c>
      <c r="C75" s="19">
        <v>-1.48</v>
      </c>
      <c r="D75" s="19">
        <v>1.6020000000000001</v>
      </c>
      <c r="E75" s="19">
        <v>1</v>
      </c>
      <c r="F75" s="20"/>
      <c r="G75" s="14">
        <f t="shared" si="19"/>
        <v>1.5987755233610013</v>
      </c>
      <c r="H75" s="15">
        <f t="shared" si="15"/>
        <v>0.20378749075730457</v>
      </c>
      <c r="I75" s="31">
        <f t="shared" si="21"/>
        <v>3.5246107586512303</v>
      </c>
      <c r="J75" s="21">
        <f t="shared" si="16"/>
        <v>7.8591256829242786</v>
      </c>
      <c r="K75" s="21">
        <f t="shared" si="17"/>
        <v>7.5565743892322006</v>
      </c>
      <c r="L75" s="21">
        <f t="shared" si="18"/>
        <v>0.36897529727611861</v>
      </c>
      <c r="M75" s="32">
        <f t="shared" si="14"/>
        <v>3.22447663899883E-3</v>
      </c>
    </row>
    <row r="76" spans="1:13" ht="15.75" thickBot="1" x14ac:dyDescent="0.3">
      <c r="A76" s="19">
        <v>15</v>
      </c>
      <c r="B76" s="19">
        <v>-3.863</v>
      </c>
      <c r="C76" s="19">
        <v>-3.2040000000000002</v>
      </c>
      <c r="D76" s="19">
        <v>0.88</v>
      </c>
      <c r="E76" s="19">
        <v>1</v>
      </c>
      <c r="F76" s="20"/>
      <c r="G76" s="14">
        <f t="shared" si="19"/>
        <v>0.87349651881699775</v>
      </c>
      <c r="H76" s="15">
        <f t="shared" si="15"/>
        <v>-5.8738821489958105E-2</v>
      </c>
      <c r="I76" s="31">
        <f>SQRT((B76-3)^2 + (C76-2)^2)</f>
        <v>8.6129196559587147</v>
      </c>
      <c r="J76" s="21">
        <f t="shared" si="16"/>
        <v>6.4230194223589265</v>
      </c>
      <c r="K76" s="21">
        <f t="shared" si="17"/>
        <v>0.11516292806281009</v>
      </c>
      <c r="L76" s="21">
        <f t="shared" si="18"/>
        <v>7.5698237476179058</v>
      </c>
      <c r="M76" s="32">
        <f t="shared" si="14"/>
        <v>6.5034811830022576E-3</v>
      </c>
    </row>
    <row r="77" spans="1:13" ht="16.5" thickTop="1" thickBot="1" x14ac:dyDescent="0.3">
      <c r="G77" s="34">
        <f>MIN(G62:G76)</f>
        <v>0.31289168089699959</v>
      </c>
      <c r="I77" s="25">
        <f>MIN(I62:I76)</f>
        <v>0.27060118255469623</v>
      </c>
      <c r="J77" s="26">
        <f>MIN(J62:J76)</f>
        <v>0.14017168044936909</v>
      </c>
      <c r="K77" s="26">
        <f>MIN(K62:K76)</f>
        <v>6.8929674306498795E-2</v>
      </c>
      <c r="L77" s="27">
        <f>MIN(L62:L76)</f>
        <v>0.16602520892924652</v>
      </c>
      <c r="M77" s="28">
        <f>AVERAGE(M62:M76)</f>
        <v>4.5038422603992491E-3</v>
      </c>
    </row>
    <row r="78" spans="1:13" ht="15.75" thickTop="1" x14ac:dyDescent="0.25"/>
    <row r="81" spans="1:13" ht="18.75" x14ac:dyDescent="0.3">
      <c r="A81" s="4" t="s">
        <v>2</v>
      </c>
      <c r="B81" s="2" t="s">
        <v>19</v>
      </c>
    </row>
    <row r="83" spans="1:13" ht="15.75" thickBot="1" x14ac:dyDescent="0.3">
      <c r="A83" t="s">
        <v>4</v>
      </c>
    </row>
    <row r="84" spans="1:13" ht="15.75" thickTop="1" x14ac:dyDescent="0.25">
      <c r="H84" s="5" t="s">
        <v>5</v>
      </c>
      <c r="I84" s="6" t="s">
        <v>6</v>
      </c>
      <c r="J84" s="7"/>
      <c r="K84" s="7"/>
      <c r="L84" s="7"/>
      <c r="M84" s="5" t="s">
        <v>1</v>
      </c>
    </row>
    <row r="85" spans="1:13" ht="15.75" thickBot="1" x14ac:dyDescent="0.3">
      <c r="A85" s="8" t="s">
        <v>7</v>
      </c>
      <c r="B85" s="8" t="s">
        <v>8</v>
      </c>
      <c r="C85" s="8" t="s">
        <v>9</v>
      </c>
      <c r="D85" s="8" t="s">
        <v>3</v>
      </c>
      <c r="E85" s="8" t="s">
        <v>10</v>
      </c>
      <c r="F85" s="8"/>
      <c r="G85" s="1" t="s">
        <v>0</v>
      </c>
      <c r="H85" s="9"/>
      <c r="I85" s="10" t="s">
        <v>11</v>
      </c>
      <c r="J85" s="11" t="s">
        <v>12</v>
      </c>
      <c r="K85" s="11" t="s">
        <v>13</v>
      </c>
      <c r="L85" s="12" t="s">
        <v>14</v>
      </c>
      <c r="M85" s="9"/>
    </row>
    <row r="86" spans="1:13" ht="15.75" thickTop="1" x14ac:dyDescent="0.25">
      <c r="A86" s="13">
        <v>1</v>
      </c>
      <c r="B86" s="13">
        <v>3.06</v>
      </c>
      <c r="C86" s="13">
        <v>1.9870000000000001</v>
      </c>
      <c r="D86" s="13">
        <v>2.3959999999999999</v>
      </c>
      <c r="E86" s="13">
        <v>1</v>
      </c>
      <c r="F86" s="13" t="s">
        <v>15</v>
      </c>
      <c r="G86" s="14">
        <f t="shared" ref="G86:G100" si="22">((B86)^2 + C86 -11)^2 + (B86 + (C86)^2 - 7)^2</f>
        <v>0.12298709256100003</v>
      </c>
      <c r="H86" s="15">
        <f>LOG(G86)</f>
        <v>-0.91014046517586245</v>
      </c>
      <c r="I86" s="29">
        <f>SQRT((B86-3)^2 + (C86-2)^2)</f>
        <v>6.1392181912683343E-2</v>
      </c>
      <c r="J86" s="16">
        <f>SQRT((B86-(-2.8051))^2 + (C86-3.1313)^2)</f>
        <v>5.9756857765448146</v>
      </c>
      <c r="K86" s="16">
        <f>SQRT((B86-(-3.7793))^2 + (C86-(-3.2831))^2)</f>
        <v>8.6342329421900583</v>
      </c>
      <c r="L86" s="16">
        <f>SQRT((B86-3.5844)^2+(C86-(-1.8481))^2)</f>
        <v>3.8707864020118703</v>
      </c>
      <c r="M86" s="30">
        <f t="shared" ref="M86:M100" si="23">ABS(D86-G86)</f>
        <v>2.273012907439</v>
      </c>
    </row>
    <row r="87" spans="1:13" x14ac:dyDescent="0.25">
      <c r="A87" s="19">
        <v>2</v>
      </c>
      <c r="B87" s="19">
        <v>-2.891</v>
      </c>
      <c r="C87" s="19">
        <v>3.101</v>
      </c>
      <c r="D87" s="19">
        <v>0.79500000000000004</v>
      </c>
      <c r="E87" s="19">
        <v>1</v>
      </c>
      <c r="F87" s="20"/>
      <c r="G87" s="14">
        <f t="shared" si="22"/>
        <v>0.28608626256200143</v>
      </c>
      <c r="H87" s="15">
        <f t="shared" ref="H87:H100" si="24">LOG(G87)</f>
        <v>-0.54350299587092565</v>
      </c>
      <c r="I87" s="31">
        <f>SQRT((B87-3)^2 + (C87-2)^2)</f>
        <v>5.9930027532114485</v>
      </c>
      <c r="J87" s="21">
        <f t="shared" ref="J87:J100" si="25">SQRT((B87-(-2.8051))^2 + (C87-3.1313)^2)</f>
        <v>9.1087320742241698E-2</v>
      </c>
      <c r="K87" s="21">
        <f t="shared" ref="K87:K100" si="26">SQRT((B87-(-3.7793))^2 + (C87-(-3.2831))^2)</f>
        <v>6.4456039049882676</v>
      </c>
      <c r="L87" s="21">
        <f t="shared" ref="L87:L100" si="27">SQRT((B87-3.5844)^2+(C87-(-1.8481))^2)</f>
        <v>8.1501163163478836</v>
      </c>
      <c r="M87" s="32">
        <f t="shared" si="23"/>
        <v>0.50891373743799861</v>
      </c>
    </row>
    <row r="88" spans="1:13" x14ac:dyDescent="0.25">
      <c r="A88" s="19">
        <v>3</v>
      </c>
      <c r="B88" s="19">
        <v>3.601</v>
      </c>
      <c r="C88" s="19">
        <v>-1.754</v>
      </c>
      <c r="D88" s="19">
        <v>1.296</v>
      </c>
      <c r="E88" s="19">
        <v>1</v>
      </c>
      <c r="F88" s="20"/>
      <c r="G88" s="14">
        <f t="shared" si="22"/>
        <v>0.14945059665700003</v>
      </c>
      <c r="H88" s="15">
        <f t="shared" si="24"/>
        <v>-0.82550234677173662</v>
      </c>
      <c r="I88" s="31">
        <f>SQRT((B88-3)^2 + (C88-2)^2)</f>
        <v>3.8018044399995117</v>
      </c>
      <c r="J88" s="21">
        <f t="shared" si="25"/>
        <v>8.0563188429952302</v>
      </c>
      <c r="K88" s="21">
        <f t="shared" si="26"/>
        <v>7.5370401949306336</v>
      </c>
      <c r="L88" s="21">
        <f t="shared" si="27"/>
        <v>9.5552969603252047E-2</v>
      </c>
      <c r="M88" s="32">
        <f t="shared" si="23"/>
        <v>1.1465494033429999</v>
      </c>
    </row>
    <row r="89" spans="1:13" x14ac:dyDescent="0.25">
      <c r="A89" s="19">
        <v>4</v>
      </c>
      <c r="B89" s="19">
        <v>-2.819</v>
      </c>
      <c r="C89" s="19">
        <v>3.1669999999999998</v>
      </c>
      <c r="D89" s="19">
        <v>0.82099999999999995</v>
      </c>
      <c r="E89" s="19">
        <v>1</v>
      </c>
      <c r="F89" s="20"/>
      <c r="G89" s="14">
        <f t="shared" si="22"/>
        <v>5.7415735441999627E-2</v>
      </c>
      <c r="H89" s="15">
        <f t="shared" si="24"/>
        <v>-1.2409690678964107</v>
      </c>
      <c r="I89" s="31">
        <f>SQRT((B89-3)^2 + (C89-2)^2)</f>
        <v>5.9348673110693886</v>
      </c>
      <c r="J89" s="21">
        <f t="shared" si="25"/>
        <v>3.8310572953167768E-2</v>
      </c>
      <c r="K89" s="21">
        <f t="shared" si="26"/>
        <v>6.521193610068635</v>
      </c>
      <c r="L89" s="21">
        <f t="shared" si="27"/>
        <v>8.1335576207462861</v>
      </c>
      <c r="M89" s="32">
        <f t="shared" si="23"/>
        <v>0.76358426455800033</v>
      </c>
    </row>
    <row r="90" spans="1:13" x14ac:dyDescent="0.25">
      <c r="A90" s="19">
        <v>5</v>
      </c>
      <c r="B90" s="19">
        <v>-2.8210000000000002</v>
      </c>
      <c r="C90" s="19">
        <v>3.0590000000000002</v>
      </c>
      <c r="D90" s="19">
        <v>2.653</v>
      </c>
      <c r="E90" s="19">
        <v>1</v>
      </c>
      <c r="F90" s="20"/>
      <c r="G90" s="14">
        <f t="shared" si="22"/>
        <v>0.21514025904199818</v>
      </c>
      <c r="H90" s="15">
        <f t="shared" si="24"/>
        <v>-0.66727831279350391</v>
      </c>
      <c r="I90" s="31">
        <f>SQRT((B90-3)^2 + (C90-2)^2)</f>
        <v>5.9165464588727774</v>
      </c>
      <c r="J90" s="21">
        <f t="shared" si="25"/>
        <v>7.4027697519239238E-2</v>
      </c>
      <c r="K90" s="21">
        <f t="shared" si="26"/>
        <v>6.4140916192396258</v>
      </c>
      <c r="L90" s="21">
        <f t="shared" si="27"/>
        <v>8.069001150700128</v>
      </c>
      <c r="M90" s="32">
        <f t="shared" si="23"/>
        <v>2.4378597409580021</v>
      </c>
    </row>
    <row r="91" spans="1:13" x14ac:dyDescent="0.25">
      <c r="A91" s="19">
        <v>6</v>
      </c>
      <c r="B91" s="19">
        <v>-3.839</v>
      </c>
      <c r="C91" s="19">
        <v>-3.339</v>
      </c>
      <c r="D91" s="19">
        <v>0.97599999999999998</v>
      </c>
      <c r="E91" s="19">
        <v>1</v>
      </c>
      <c r="F91" s="20"/>
      <c r="G91" s="14">
        <f t="shared" si="22"/>
        <v>0.25518899048199922</v>
      </c>
      <c r="H91" s="15">
        <f t="shared" si="24"/>
        <v>-0.59313806614231379</v>
      </c>
      <c r="I91" s="31">
        <f t="shared" ref="I91" si="28">SQRT((B91-3)^2 + (C91-2)^2)</f>
        <v>8.6762227956640228</v>
      </c>
      <c r="J91" s="21">
        <f t="shared" si="25"/>
        <v>6.5523836349835314</v>
      </c>
      <c r="K91" s="21">
        <f t="shared" si="26"/>
        <v>8.1785695570802383E-2</v>
      </c>
      <c r="L91" s="21">
        <f t="shared" si="27"/>
        <v>7.5716345903642228</v>
      </c>
      <c r="M91" s="32">
        <f t="shared" si="23"/>
        <v>0.7208110095180007</v>
      </c>
    </row>
    <row r="92" spans="1:13" x14ac:dyDescent="0.25">
      <c r="A92" s="19">
        <v>7</v>
      </c>
      <c r="B92" s="19">
        <v>-3.7629999999999999</v>
      </c>
      <c r="C92" s="19">
        <v>-3.3109999999999999</v>
      </c>
      <c r="D92" s="19">
        <v>1.101</v>
      </c>
      <c r="E92" s="19">
        <v>1</v>
      </c>
      <c r="F92" s="20"/>
      <c r="G92" s="14">
        <f t="shared" si="22"/>
        <v>6.2638468402000158E-2</v>
      </c>
      <c r="H92" s="15">
        <f t="shared" si="24"/>
        <v>-1.2031588699266753</v>
      </c>
      <c r="I92" s="31">
        <f>SQRT((B92-3)^2 + (C92-2)^2)</f>
        <v>8.5991214667546121</v>
      </c>
      <c r="J92" s="21">
        <f t="shared" si="25"/>
        <v>6.5131253404183767</v>
      </c>
      <c r="K92" s="21">
        <f t="shared" si="26"/>
        <v>3.2312536266904154E-2</v>
      </c>
      <c r="L92" s="21">
        <f t="shared" si="27"/>
        <v>7.49161952918059</v>
      </c>
      <c r="M92" s="32">
        <f t="shared" si="23"/>
        <v>1.0383615315979999</v>
      </c>
    </row>
    <row r="93" spans="1:13" x14ac:dyDescent="0.25">
      <c r="A93" s="19">
        <v>8</v>
      </c>
      <c r="B93" s="19">
        <v>-3.754</v>
      </c>
      <c r="C93" s="19">
        <v>-3.2559999999999998</v>
      </c>
      <c r="D93" s="19">
        <v>1.3220000000000001</v>
      </c>
      <c r="E93" s="19">
        <v>1</v>
      </c>
      <c r="F93" s="20"/>
      <c r="G93" s="14">
        <f t="shared" si="22"/>
        <v>4.9972289552000185E-2</v>
      </c>
      <c r="H93" s="15">
        <f t="shared" si="24"/>
        <v>-1.3012707522780294</v>
      </c>
      <c r="I93" s="31">
        <f t="shared" ref="I93:I99" si="29">SQRT((B93-3)^2 + (C93-2)^2)</f>
        <v>8.558157044597861</v>
      </c>
      <c r="J93" s="21">
        <f t="shared" si="25"/>
        <v>6.4573998250069664</v>
      </c>
      <c r="K93" s="21">
        <f t="shared" si="26"/>
        <v>3.7074249823833574E-2</v>
      </c>
      <c r="L93" s="21">
        <f t="shared" si="27"/>
        <v>7.4722350719179067</v>
      </c>
      <c r="M93" s="32">
        <f t="shared" si="23"/>
        <v>1.2720277104479998</v>
      </c>
    </row>
    <row r="94" spans="1:13" x14ac:dyDescent="0.25">
      <c r="A94" s="19">
        <v>9</v>
      </c>
      <c r="B94" s="19">
        <v>3.5339999999999998</v>
      </c>
      <c r="C94" s="19">
        <v>-1.9</v>
      </c>
      <c r="D94" s="19">
        <v>2.9359999999999999</v>
      </c>
      <c r="E94" s="19">
        <v>1</v>
      </c>
      <c r="F94" s="20"/>
      <c r="G94" s="14">
        <f t="shared" si="22"/>
        <v>0.18952879233600076</v>
      </c>
      <c r="H94" s="15">
        <f t="shared" si="24"/>
        <v>-0.72232480467851323</v>
      </c>
      <c r="I94" s="31">
        <f t="shared" si="29"/>
        <v>3.9363887003191134</v>
      </c>
      <c r="J94" s="21">
        <f t="shared" si="25"/>
        <v>8.0930938768804612</v>
      </c>
      <c r="K94" s="21">
        <f t="shared" si="26"/>
        <v>7.4429377600514703</v>
      </c>
      <c r="L94" s="21">
        <f t="shared" si="27"/>
        <v>7.234479939843641E-2</v>
      </c>
      <c r="M94" s="32">
        <f t="shared" si="23"/>
        <v>2.746471207663999</v>
      </c>
    </row>
    <row r="95" spans="1:13" x14ac:dyDescent="0.25">
      <c r="A95" s="19">
        <v>10</v>
      </c>
      <c r="B95" s="19">
        <v>3.65</v>
      </c>
      <c r="C95" s="19">
        <v>-1.869</v>
      </c>
      <c r="D95" s="19">
        <v>0.81799999999999995</v>
      </c>
      <c r="E95" s="19">
        <v>1</v>
      </c>
      <c r="F95" s="20"/>
      <c r="G95" s="14">
        <f t="shared" si="22"/>
        <v>0.22615732192100005</v>
      </c>
      <c r="H95" s="15">
        <f t="shared" si="24"/>
        <v>-0.64558934725738604</v>
      </c>
      <c r="I95" s="31">
        <f t="shared" si="29"/>
        <v>3.9232207432159609</v>
      </c>
      <c r="J95" s="21">
        <f t="shared" si="25"/>
        <v>8.1652505227947536</v>
      </c>
      <c r="K95" s="21">
        <f t="shared" si="26"/>
        <v>7.5626832076981776</v>
      </c>
      <c r="L95" s="21">
        <f t="shared" si="27"/>
        <v>6.8848892511063534E-2</v>
      </c>
      <c r="M95" s="32">
        <f t="shared" si="23"/>
        <v>0.59184267807899993</v>
      </c>
    </row>
    <row r="96" spans="1:13" x14ac:dyDescent="0.25">
      <c r="A96" s="19">
        <v>11</v>
      </c>
      <c r="B96" s="19">
        <v>3.5390000000000001</v>
      </c>
      <c r="C96" s="19">
        <v>-1.7450000000000001</v>
      </c>
      <c r="D96" s="19">
        <v>2.343</v>
      </c>
      <c r="E96" s="19">
        <v>1</v>
      </c>
      <c r="F96" s="20"/>
      <c r="G96" s="14">
        <f t="shared" si="22"/>
        <v>0.22164619006599848</v>
      </c>
      <c r="H96" s="15">
        <f t="shared" si="24"/>
        <v>-0.65433972950127728</v>
      </c>
      <c r="I96" s="31">
        <f t="shared" si="29"/>
        <v>3.783589036880195</v>
      </c>
      <c r="J96" s="21">
        <f t="shared" si="25"/>
        <v>8.0016189924289698</v>
      </c>
      <c r="K96" s="21">
        <f t="shared" si="26"/>
        <v>7.478186043419889</v>
      </c>
      <c r="L96" s="21">
        <f t="shared" si="27"/>
        <v>0.11265331774963391</v>
      </c>
      <c r="M96" s="32">
        <f t="shared" si="23"/>
        <v>2.1213538099340017</v>
      </c>
    </row>
    <row r="97" spans="1:13" x14ac:dyDescent="0.25">
      <c r="A97" s="19">
        <v>12</v>
      </c>
      <c r="B97" s="19">
        <v>-2.7490000000000001</v>
      </c>
      <c r="C97" s="19">
        <v>3.1320000000000001</v>
      </c>
      <c r="D97" s="19">
        <v>0.317</v>
      </c>
      <c r="E97" s="19">
        <v>1</v>
      </c>
      <c r="F97" s="20"/>
      <c r="G97" s="14">
        <f t="shared" si="22"/>
        <v>0.10037143777699925</v>
      </c>
      <c r="H97" s="15">
        <f t="shared" si="24"/>
        <v>-0.99838985472691144</v>
      </c>
      <c r="I97" s="31">
        <f t="shared" si="29"/>
        <v>5.859387766652759</v>
      </c>
      <c r="J97" s="21">
        <f t="shared" si="25"/>
        <v>5.6104367031452905E-2</v>
      </c>
      <c r="K97" s="21">
        <f t="shared" si="26"/>
        <v>6.4973091430222105</v>
      </c>
      <c r="L97" s="21">
        <f t="shared" si="27"/>
        <v>8.0568822487361693</v>
      </c>
      <c r="M97" s="32">
        <f t="shared" si="23"/>
        <v>0.21662856222300075</v>
      </c>
    </row>
    <row r="98" spans="1:13" x14ac:dyDescent="0.25">
      <c r="A98" s="19">
        <v>13</v>
      </c>
      <c r="B98" s="19">
        <v>3.52</v>
      </c>
      <c r="C98" s="19">
        <v>-1.8480000000000001</v>
      </c>
      <c r="D98" s="19">
        <v>1.8919999999999999</v>
      </c>
      <c r="E98" s="19">
        <v>1</v>
      </c>
      <c r="F98" s="20"/>
      <c r="G98" s="14">
        <f t="shared" si="22"/>
        <v>0.21360925081600091</v>
      </c>
      <c r="H98" s="15">
        <f t="shared" si="24"/>
        <v>-0.67037994316339677</v>
      </c>
      <c r="I98" s="31">
        <f t="shared" si="29"/>
        <v>3.8829761781396495</v>
      </c>
      <c r="J98" s="21">
        <f t="shared" si="25"/>
        <v>8.0498645019652351</v>
      </c>
      <c r="K98" s="21">
        <f t="shared" si="26"/>
        <v>7.4390384123218514</v>
      </c>
      <c r="L98" s="21">
        <f t="shared" si="27"/>
        <v>6.4400077639704761E-2</v>
      </c>
      <c r="M98" s="32">
        <f t="shared" si="23"/>
        <v>1.6783907491839991</v>
      </c>
    </row>
    <row r="99" spans="1:13" x14ac:dyDescent="0.25">
      <c r="A99" s="19">
        <v>14</v>
      </c>
      <c r="B99" s="19">
        <v>3.0369999999999999</v>
      </c>
      <c r="C99" s="19">
        <v>2.056</v>
      </c>
      <c r="D99" s="19">
        <v>1.6020000000000001</v>
      </c>
      <c r="E99" s="19">
        <v>1</v>
      </c>
      <c r="F99" s="20"/>
      <c r="G99" s="14">
        <f t="shared" si="22"/>
        <v>0.14781486465699933</v>
      </c>
      <c r="H99" s="15">
        <f t="shared" si="24"/>
        <v>-0.83028188993374241</v>
      </c>
      <c r="I99" s="31">
        <f t="shared" si="29"/>
        <v>6.7119296778199333E-2</v>
      </c>
      <c r="J99" s="21">
        <f t="shared" si="25"/>
        <v>5.9402358959893169</v>
      </c>
      <c r="K99" s="21">
        <f t="shared" si="26"/>
        <v>8.6584025374199367</v>
      </c>
      <c r="L99" s="21">
        <f t="shared" si="27"/>
        <v>3.9422891281589179</v>
      </c>
      <c r="M99" s="32">
        <f t="shared" si="23"/>
        <v>1.4541851353430006</v>
      </c>
    </row>
    <row r="100" spans="1:13" ht="15.75" thickBot="1" x14ac:dyDescent="0.3">
      <c r="A100" s="19">
        <v>15</v>
      </c>
      <c r="B100" s="19">
        <v>3.0489999999999999</v>
      </c>
      <c r="C100" s="19">
        <v>1.8939999999999999</v>
      </c>
      <c r="D100" s="19">
        <v>0.88</v>
      </c>
      <c r="E100" s="19">
        <v>1</v>
      </c>
      <c r="F100" s="20"/>
      <c r="G100" s="14">
        <f t="shared" si="22"/>
        <v>0.16857678849700031</v>
      </c>
      <c r="H100" s="15">
        <f t="shared" si="24"/>
        <v>-0.77320222402707328</v>
      </c>
      <c r="I100" s="31">
        <f>SQRT((B100-3)^2 + (C100-2)^2)</f>
        <v>0.1167775663387451</v>
      </c>
      <c r="J100" s="21">
        <f t="shared" si="25"/>
        <v>5.9834269528423256</v>
      </c>
      <c r="K100" s="21">
        <f t="shared" si="26"/>
        <v>8.5690165888507881</v>
      </c>
      <c r="L100" s="21">
        <f t="shared" si="27"/>
        <v>3.7802070803065799</v>
      </c>
      <c r="M100" s="32">
        <f t="shared" si="23"/>
        <v>0.7114232115029997</v>
      </c>
    </row>
    <row r="101" spans="1:13" ht="16.5" thickTop="1" thickBot="1" x14ac:dyDescent="0.3">
      <c r="G101" s="34">
        <f>MIN(G86:G100)</f>
        <v>4.9972289552000185E-2</v>
      </c>
      <c r="I101" s="25">
        <f>MIN(I86:I100)</f>
        <v>6.1392181912683343E-2</v>
      </c>
      <c r="J101" s="26">
        <f>MIN(J86:J100)</f>
        <v>3.8310572953167768E-2</v>
      </c>
      <c r="K101" s="26">
        <f>MIN(K86:K100)</f>
        <v>3.2312536266904154E-2</v>
      </c>
      <c r="L101" s="27">
        <f>MIN(L86:L100)</f>
        <v>6.4400077639704761E-2</v>
      </c>
      <c r="M101" s="28">
        <f>AVERAGE(M86:M100)</f>
        <v>1.3120943772820004</v>
      </c>
    </row>
    <row r="102" spans="1:13" ht="15.75" thickTop="1" x14ac:dyDescent="0.25"/>
    <row r="107" spans="1:13" ht="18.75" x14ac:dyDescent="0.3">
      <c r="A107" s="4" t="s">
        <v>2</v>
      </c>
      <c r="B107" s="2" t="s">
        <v>20</v>
      </c>
    </row>
    <row r="109" spans="1:13" ht="15.75" thickBot="1" x14ac:dyDescent="0.3">
      <c r="A109" t="s">
        <v>21</v>
      </c>
    </row>
    <row r="110" spans="1:13" ht="15.75" thickTop="1" x14ac:dyDescent="0.25">
      <c r="H110" s="5" t="s">
        <v>5</v>
      </c>
      <c r="I110" s="6" t="s">
        <v>6</v>
      </c>
      <c r="J110" s="7"/>
      <c r="K110" s="7"/>
      <c r="L110" s="7"/>
      <c r="M110" s="5" t="s">
        <v>1</v>
      </c>
    </row>
    <row r="111" spans="1:13" ht="15.75" thickBot="1" x14ac:dyDescent="0.3">
      <c r="A111" s="8" t="s">
        <v>7</v>
      </c>
      <c r="B111" s="8" t="s">
        <v>8</v>
      </c>
      <c r="C111" s="8" t="s">
        <v>9</v>
      </c>
      <c r="D111" s="8" t="s">
        <v>3</v>
      </c>
      <c r="E111" s="8" t="s">
        <v>10</v>
      </c>
      <c r="F111" s="8"/>
      <c r="G111" s="1" t="s">
        <v>0</v>
      </c>
      <c r="H111" s="9"/>
      <c r="I111" s="10" t="s">
        <v>11</v>
      </c>
      <c r="J111" s="11" t="s">
        <v>12</v>
      </c>
      <c r="K111" s="11" t="s">
        <v>13</v>
      </c>
      <c r="L111" s="12" t="s">
        <v>14</v>
      </c>
      <c r="M111" s="9"/>
    </row>
    <row r="112" spans="1:13" ht="15.75" thickTop="1" x14ac:dyDescent="0.25">
      <c r="A112" s="13">
        <v>1</v>
      </c>
      <c r="B112" s="13">
        <v>3.593</v>
      </c>
      <c r="C112" s="13">
        <v>-1.879</v>
      </c>
      <c r="D112" s="13">
        <v>1.6E-2</v>
      </c>
      <c r="E112" s="13">
        <v>1</v>
      </c>
      <c r="F112" s="13" t="s">
        <v>15</v>
      </c>
      <c r="G112" s="14">
        <f t="shared" ref="G112:G120" si="30">((B112)^2 + C112 -11)^2 + (B112 + (C112)^2 - 7)^2</f>
        <v>1.6226458082000052E-2</v>
      </c>
      <c r="H112" s="15">
        <f>LOG(G112)</f>
        <v>-1.7897762678086326</v>
      </c>
      <c r="I112" s="29">
        <f>SQRT((B112-3)^2 + (C112-2)^2)</f>
        <v>3.9240654938469106</v>
      </c>
      <c r="J112" s="16">
        <f>SQRT((B112-(-2.8051))^2 + (C112-3.1313)^2)</f>
        <v>8.1264253949691803</v>
      </c>
      <c r="K112" s="16">
        <f>SQRT((B112-(-3.7793))^2 + (C112-(-3.2831))^2)</f>
        <v>7.504818725325749</v>
      </c>
      <c r="L112" s="16">
        <f>SQRT((B112-3.5844)^2+(C112-(-1.8481))^2)</f>
        <v>3.2074444656143224E-2</v>
      </c>
      <c r="M112" s="30">
        <f t="shared" ref="M112:M120" si="31">ABS(D112-G112)</f>
        <v>2.2645808200005141E-4</v>
      </c>
    </row>
    <row r="113" spans="1:13" x14ac:dyDescent="0.25">
      <c r="A113" s="19">
        <v>2</v>
      </c>
      <c r="B113" s="19">
        <v>3.0179999999999998</v>
      </c>
      <c r="C113" s="19">
        <v>2.0070000000000001</v>
      </c>
      <c r="D113" s="19">
        <v>1.4999999999999999E-2</v>
      </c>
      <c r="E113" s="19">
        <v>1</v>
      </c>
      <c r="F113" s="20"/>
      <c r="G113" s="14">
        <f t="shared" si="30"/>
        <v>1.5420135376999843E-2</v>
      </c>
      <c r="H113" s="15">
        <f t="shared" ref="H113:H120" si="32">LOG(G113)</f>
        <v>-1.8119118134947942</v>
      </c>
      <c r="I113" s="31">
        <f>SQRT((B113-3)^2 + (C113-2)^2)</f>
        <v>1.9313207915827815E-2</v>
      </c>
      <c r="J113" s="21">
        <f t="shared" ref="J113:J120" si="33">SQRT((B113-(-2.8051))^2 + (C113-3.1313)^2)</f>
        <v>5.9306444928017736</v>
      </c>
      <c r="K113" s="21">
        <f t="shared" ref="K113:K120" si="34">SQRT((B113-(-3.7793))^2 + (C113-(-3.2831))^2)</f>
        <v>8.6132714632710847</v>
      </c>
      <c r="L113" s="21">
        <f t="shared" ref="L113:L120" si="35">SQRT((B113-3.5844)^2+(C113-(-1.8481))^2)</f>
        <v>3.8964862337752462</v>
      </c>
      <c r="M113" s="32">
        <f t="shared" si="31"/>
        <v>4.201353769998431E-4</v>
      </c>
    </row>
    <row r="114" spans="1:13" x14ac:dyDescent="0.25">
      <c r="A114" s="19">
        <v>3</v>
      </c>
      <c r="B114" s="19">
        <v>-2.8109999999999999</v>
      </c>
      <c r="C114" s="19">
        <v>3.1309999999999998</v>
      </c>
      <c r="D114" s="19">
        <v>1E-3</v>
      </c>
      <c r="E114" s="19">
        <v>1</v>
      </c>
      <c r="F114" s="20"/>
      <c r="G114" s="14">
        <f t="shared" si="30"/>
        <v>1.1321137619999223E-3</v>
      </c>
      <c r="H114" s="15">
        <f t="shared" si="32"/>
        <v>-2.9461099302798957</v>
      </c>
      <c r="I114" s="31">
        <f>SQRT((B114-3)^2 + (C114-2)^2)</f>
        <v>5.9200407093194896</v>
      </c>
      <c r="J114" s="21">
        <f t="shared" si="33"/>
        <v>5.9076221950967976E-3</v>
      </c>
      <c r="K114" s="21">
        <f t="shared" si="34"/>
        <v>6.4867776052520867</v>
      </c>
      <c r="L114" s="21">
        <f t="shared" si="35"/>
        <v>8.1050958026416939</v>
      </c>
      <c r="M114" s="32">
        <f t="shared" si="31"/>
        <v>1.3211376199992225E-4</v>
      </c>
    </row>
    <row r="115" spans="1:13" x14ac:dyDescent="0.25">
      <c r="A115" s="19">
        <v>4</v>
      </c>
      <c r="B115" s="19">
        <v>-3.7789999999999999</v>
      </c>
      <c r="C115" s="19">
        <v>-3.266</v>
      </c>
      <c r="D115" s="19">
        <v>1.2E-2</v>
      </c>
      <c r="E115" s="19">
        <v>1</v>
      </c>
      <c r="F115" s="20"/>
      <c r="G115" s="14">
        <f t="shared" si="30"/>
        <v>1.2818970817000066E-2</v>
      </c>
      <c r="H115" s="15">
        <f t="shared" si="32"/>
        <v>-1.8921468411541671</v>
      </c>
      <c r="I115" s="31">
        <f>SQRT((B115-3)^2 + (C115-2)^2)</f>
        <v>8.5840315120577237</v>
      </c>
      <c r="J115" s="21">
        <f t="shared" si="33"/>
        <v>6.4710067609298623</v>
      </c>
      <c r="K115" s="21">
        <f t="shared" si="34"/>
        <v>1.7102631376487189E-2</v>
      </c>
      <c r="L115" s="21">
        <f t="shared" si="35"/>
        <v>7.4986732139759233</v>
      </c>
      <c r="M115" s="32">
        <f t="shared" si="31"/>
        <v>8.1897081700006528E-4</v>
      </c>
    </row>
    <row r="116" spans="1:13" x14ac:dyDescent="0.25">
      <c r="A116" s="19">
        <v>5</v>
      </c>
      <c r="B116" s="19">
        <v>3.569</v>
      </c>
      <c r="C116" s="19">
        <v>-1.8009999999999999</v>
      </c>
      <c r="D116" s="19">
        <v>0.04</v>
      </c>
      <c r="E116" s="19">
        <v>1</v>
      </c>
      <c r="F116" s="20"/>
      <c r="G116" s="14">
        <f t="shared" si="30"/>
        <v>3.9117556322000181E-2</v>
      </c>
      <c r="H116" s="15">
        <f t="shared" si="32"/>
        <v>-1.4076282834605913</v>
      </c>
      <c r="I116" s="31">
        <f>SQRT((B116-3)^2 + (C116-2)^2)</f>
        <v>3.843352963234056</v>
      </c>
      <c r="J116" s="21">
        <f t="shared" si="33"/>
        <v>8.0595740644279719</v>
      </c>
      <c r="K116" s="21">
        <f t="shared" si="34"/>
        <v>7.496274628106951</v>
      </c>
      <c r="L116" s="21">
        <f t="shared" si="35"/>
        <v>4.9553708236619545E-2</v>
      </c>
      <c r="M116" s="32">
        <f t="shared" si="31"/>
        <v>8.824436779998196E-4</v>
      </c>
    </row>
    <row r="117" spans="1:13" x14ac:dyDescent="0.25">
      <c r="A117" s="19">
        <v>6</v>
      </c>
      <c r="B117" s="19">
        <v>3.03</v>
      </c>
      <c r="C117" s="19">
        <v>1.9510000000000001</v>
      </c>
      <c r="D117" s="19">
        <v>4.4999999999999998E-2</v>
      </c>
      <c r="E117" s="19">
        <v>1</v>
      </c>
      <c r="F117" s="20"/>
      <c r="G117" s="14">
        <f t="shared" si="30"/>
        <v>4.4162242800999847E-2</v>
      </c>
      <c r="H117" s="15">
        <f t="shared" si="32"/>
        <v>-1.3549488788620918</v>
      </c>
      <c r="I117" s="31">
        <f t="shared" ref="I117" si="36">SQRT((B117-3)^2 + (C117-2)^2)</f>
        <v>5.745432968889274E-2</v>
      </c>
      <c r="J117" s="21">
        <f t="shared" si="33"/>
        <v>5.9532764172344619</v>
      </c>
      <c r="K117" s="21">
        <f t="shared" si="34"/>
        <v>8.5885021569537958</v>
      </c>
      <c r="L117" s="21">
        <f t="shared" si="35"/>
        <v>3.8393385068264037</v>
      </c>
      <c r="M117" s="32">
        <f t="shared" si="31"/>
        <v>8.3775719900015116E-4</v>
      </c>
    </row>
    <row r="118" spans="1:13" x14ac:dyDescent="0.25">
      <c r="A118" s="19">
        <v>7</v>
      </c>
      <c r="B118" s="19">
        <v>2.9769999999999999</v>
      </c>
      <c r="C118" s="19">
        <v>2.052</v>
      </c>
      <c r="D118" s="19">
        <v>4.2999999999999997E-2</v>
      </c>
      <c r="E118" s="19">
        <v>1</v>
      </c>
      <c r="F118" s="20"/>
      <c r="G118" s="14">
        <f t="shared" si="30"/>
        <v>4.2538083457000352E-2</v>
      </c>
      <c r="H118" s="15">
        <f t="shared" si="32"/>
        <v>-1.3712220810247173</v>
      </c>
      <c r="I118" s="31">
        <f>SQRT((B118-3)^2 + (C118-2)^2)</f>
        <v>5.6859475903318094E-2</v>
      </c>
      <c r="J118" s="21">
        <f t="shared" si="33"/>
        <v>5.8819698146114279</v>
      </c>
      <c r="K118" s="21">
        <f t="shared" si="34"/>
        <v>8.6087677225024493</v>
      </c>
      <c r="L118" s="21">
        <f t="shared" si="35"/>
        <v>3.9471147399081268</v>
      </c>
      <c r="M118" s="32">
        <f t="shared" si="31"/>
        <v>4.6191654299964496E-4</v>
      </c>
    </row>
    <row r="119" spans="1:13" x14ac:dyDescent="0.25">
      <c r="A119" s="19">
        <v>8</v>
      </c>
      <c r="B119" s="19">
        <v>-2.7669999999999999</v>
      </c>
      <c r="C119" s="19">
        <v>3.133</v>
      </c>
      <c r="D119" s="19">
        <v>4.5999999999999999E-2</v>
      </c>
      <c r="E119" s="19">
        <v>1</v>
      </c>
      <c r="F119" s="20"/>
      <c r="G119" s="14">
        <f t="shared" si="30"/>
        <v>4.6769744242000068E-2</v>
      </c>
      <c r="H119" s="15">
        <f t="shared" si="32"/>
        <v>-1.330035005002588</v>
      </c>
      <c r="I119" s="31">
        <f t="shared" ref="I119:I120" si="37">SQRT((B119-3)^2 + (C119-2)^2)</f>
        <v>5.8772423805727119</v>
      </c>
      <c r="J119" s="21">
        <f t="shared" si="33"/>
        <v>3.8137907651049789E-2</v>
      </c>
      <c r="K119" s="21">
        <f t="shared" si="34"/>
        <v>6.4954669193215047</v>
      </c>
      <c r="L119" s="21">
        <f t="shared" si="35"/>
        <v>8.0716565319641784</v>
      </c>
      <c r="M119" s="32">
        <f t="shared" si="31"/>
        <v>7.6974424200006858E-4</v>
      </c>
    </row>
    <row r="120" spans="1:13" ht="15.75" thickBot="1" x14ac:dyDescent="0.3">
      <c r="A120" s="19">
        <v>9</v>
      </c>
      <c r="B120" s="19">
        <v>-3.7669999999999999</v>
      </c>
      <c r="C120" s="19">
        <v>-3.3090000000000002</v>
      </c>
      <c r="D120" s="19">
        <v>4.8000000000000001E-2</v>
      </c>
      <c r="E120" s="19">
        <v>1</v>
      </c>
      <c r="F120" s="20"/>
      <c r="G120" s="14">
        <f t="shared" si="30"/>
        <v>4.739161688200063E-2</v>
      </c>
      <c r="H120" s="15">
        <f t="shared" si="32"/>
        <v>-1.3242984740194861</v>
      </c>
      <c r="I120" s="31">
        <f t="shared" si="37"/>
        <v>8.6010330774855177</v>
      </c>
      <c r="J120" s="21">
        <f t="shared" si="33"/>
        <v>6.5117367652570231</v>
      </c>
      <c r="K120" s="21">
        <f t="shared" si="34"/>
        <v>2.8672286270892432E-2</v>
      </c>
      <c r="L120" s="21">
        <f t="shared" si="35"/>
        <v>7.4951524847730751</v>
      </c>
      <c r="M120" s="32">
        <f t="shared" si="31"/>
        <v>6.0838311799937123E-4</v>
      </c>
    </row>
    <row r="121" spans="1:13" ht="16.5" thickTop="1" thickBot="1" x14ac:dyDescent="0.3">
      <c r="G121" s="34">
        <f>MIN(G112:G120)</f>
        <v>1.1321137619999223E-3</v>
      </c>
      <c r="I121" s="25">
        <f>MIN(I112:I120)</f>
        <v>1.9313207915827815E-2</v>
      </c>
      <c r="J121" s="26">
        <f>MIN(J112:J120)</f>
        <v>5.9076221950967976E-3</v>
      </c>
      <c r="K121" s="26">
        <f>MIN(K112:K120)</f>
        <v>1.7102631376487189E-2</v>
      </c>
      <c r="L121" s="27">
        <f>MIN(L112:L120)</f>
        <v>3.2074444656143224E-2</v>
      </c>
      <c r="M121" s="28">
        <f>AVERAGE(M112:M120)</f>
        <v>5.7310253533321529E-4</v>
      </c>
    </row>
    <row r="122" spans="1:13" ht="15.75" thickTop="1" x14ac:dyDescent="0.25"/>
    <row r="127" spans="1:13" ht="18.75" x14ac:dyDescent="0.3">
      <c r="A127" s="4" t="s">
        <v>2</v>
      </c>
      <c r="B127" s="2" t="s">
        <v>22</v>
      </c>
    </row>
    <row r="129" spans="1:13" ht="15.75" thickBot="1" x14ac:dyDescent="0.3">
      <c r="A129" t="s">
        <v>23</v>
      </c>
    </row>
    <row r="130" spans="1:13" ht="15.75" thickTop="1" x14ac:dyDescent="0.25">
      <c r="H130" s="5" t="s">
        <v>5</v>
      </c>
      <c r="I130" s="6" t="s">
        <v>6</v>
      </c>
      <c r="J130" s="7"/>
      <c r="K130" s="7"/>
      <c r="L130" s="7"/>
      <c r="M130" s="5" t="s">
        <v>1</v>
      </c>
    </row>
    <row r="131" spans="1:13" ht="15.75" thickBot="1" x14ac:dyDescent="0.3">
      <c r="A131" s="8" t="s">
        <v>7</v>
      </c>
      <c r="B131" s="8" t="s">
        <v>8</v>
      </c>
      <c r="C131" s="8" t="s">
        <v>9</v>
      </c>
      <c r="D131" s="8" t="s">
        <v>3</v>
      </c>
      <c r="E131" s="8" t="s">
        <v>10</v>
      </c>
      <c r="F131" s="8"/>
      <c r="G131" s="1" t="s">
        <v>0</v>
      </c>
      <c r="H131" s="9"/>
      <c r="I131" s="10" t="s">
        <v>11</v>
      </c>
      <c r="J131" s="11" t="s">
        <v>12</v>
      </c>
      <c r="K131" s="11" t="s">
        <v>13</v>
      </c>
      <c r="L131" s="12" t="s">
        <v>14</v>
      </c>
      <c r="M131" s="9"/>
    </row>
    <row r="132" spans="1:13" ht="15.75" thickTop="1" x14ac:dyDescent="0.25">
      <c r="A132" s="13">
        <v>1</v>
      </c>
      <c r="B132" s="13">
        <v>3.5840000000000001</v>
      </c>
      <c r="C132" s="13">
        <v>-1.8520000000000001</v>
      </c>
      <c r="D132" s="13">
        <v>0</v>
      </c>
      <c r="E132" s="13">
        <v>1</v>
      </c>
      <c r="F132" s="13" t="s">
        <v>15</v>
      </c>
      <c r="G132" s="14">
        <f>((B132)^2 + C132 -11)^2 + (B132 + (C132)^2 - 7)^2</f>
        <v>2.4154035199998926E-4</v>
      </c>
      <c r="H132" s="15">
        <f>LOG(G132)</f>
        <v>-3.6170103051319153</v>
      </c>
      <c r="I132" s="29">
        <f>SQRT((B132-3)^2 + (C132-2)^2)</f>
        <v>3.896018480448983</v>
      </c>
      <c r="J132" s="16">
        <f>SQRT((B132-(-2.8051))^2 + (C132-3.1313)^2)</f>
        <v>8.1027080473135644</v>
      </c>
      <c r="K132" s="16">
        <f>SQRT((B132-(-3.7793))^2 + (C132-(-3.2831))^2)</f>
        <v>7.5010821952568962</v>
      </c>
      <c r="L132" s="16">
        <f>SQRT((B132-3.5844)^2+(C132-(-1.8481))^2)</f>
        <v>3.9204591567825421E-3</v>
      </c>
      <c r="M132" s="30">
        <f t="shared" ref="M132:M135" si="38">ABS(D132-G132)</f>
        <v>2.4154035199998926E-4</v>
      </c>
    </row>
    <row r="133" spans="1:13" x14ac:dyDescent="0.25">
      <c r="A133" s="19">
        <v>2</v>
      </c>
      <c r="B133" s="19">
        <v>-3.7770000000000001</v>
      </c>
      <c r="C133" s="19">
        <v>-3.2850000000000001</v>
      </c>
      <c r="D133" s="19">
        <v>1E-3</v>
      </c>
      <c r="E133" s="19">
        <v>1</v>
      </c>
      <c r="F133" s="20"/>
      <c r="G133" s="14">
        <f>((B133)^2 + C133 -11)^2 + (B133 + (C133)^2 - 7)^2</f>
        <v>5.7372206600000996E-4</v>
      </c>
      <c r="H133" s="15">
        <f t="shared" ref="H133:H135" si="39">LOG(G133)</f>
        <v>-3.2412984463390155</v>
      </c>
      <c r="I133" s="31">
        <f>SQRT((B133-3)^2 + (C133-2)^2)</f>
        <v>8.5941232246227415</v>
      </c>
      <c r="J133" s="21">
        <f t="shared" ref="J133:J135" si="40">SQRT((B133-(-2.8051))^2 + (C133-3.1313)^2)</f>
        <v>6.4894911433794249</v>
      </c>
      <c r="K133" s="21">
        <f t="shared" ref="K133:K135" si="41">SQRT((B133-(-3.7793))^2 + (C133-(-3.2831))^2)</f>
        <v>2.9832867780352434E-3</v>
      </c>
      <c r="L133" s="21">
        <f t="shared" ref="L133:L135" si="42">SQRT((B133-3.5844)^2+(C133-(-1.8481))^2)</f>
        <v>7.500326097577358</v>
      </c>
      <c r="M133" s="32">
        <f t="shared" si="38"/>
        <v>4.2627793399999006E-4</v>
      </c>
    </row>
    <row r="134" spans="1:13" x14ac:dyDescent="0.25">
      <c r="A134" s="19">
        <v>3</v>
      </c>
      <c r="B134" s="19">
        <v>-2.8010000000000002</v>
      </c>
      <c r="C134" s="19">
        <v>3.1320000000000001</v>
      </c>
      <c r="D134" s="19">
        <v>0</v>
      </c>
      <c r="E134" s="19">
        <v>1</v>
      </c>
      <c r="F134" s="20"/>
      <c r="G134" s="14">
        <f>((B134)^2 + C134 -11)^2 + (B134 + (C134)^2 - 7)^2</f>
        <v>5.7267897699991898E-4</v>
      </c>
      <c r="H134" s="15">
        <f t="shared" si="39"/>
        <v>-3.2420887595102261</v>
      </c>
      <c r="I134" s="31">
        <f>SQRT((B134-3)^2 + (C134-2)^2)</f>
        <v>5.9104166519797907</v>
      </c>
      <c r="J134" s="21">
        <f t="shared" si="40"/>
        <v>4.1593268686168829E-3</v>
      </c>
      <c r="K134" s="21">
        <f t="shared" si="41"/>
        <v>6.4892664377416347</v>
      </c>
      <c r="L134" s="21">
        <f t="shared" si="42"/>
        <v>8.0978224955848486</v>
      </c>
      <c r="M134" s="32">
        <f t="shared" si="38"/>
        <v>5.7267897699991898E-4</v>
      </c>
    </row>
    <row r="135" spans="1:13" ht="15.75" thickBot="1" x14ac:dyDescent="0.3">
      <c r="A135" s="19">
        <v>4</v>
      </c>
      <c r="B135" s="19">
        <v>3.0009999999999999</v>
      </c>
      <c r="C135" s="19">
        <v>2.0019999999999998</v>
      </c>
      <c r="D135" s="19">
        <v>0</v>
      </c>
      <c r="E135" s="19">
        <v>1</v>
      </c>
      <c r="F135" s="20"/>
      <c r="G135" s="14">
        <f>((B135)^2 + C135 -11)^2 + (B135 + (C135)^2 - 7)^2</f>
        <v>1.4508801699998657E-4</v>
      </c>
      <c r="H135" s="15">
        <f t="shared" si="39"/>
        <v>-3.8383684550032373</v>
      </c>
      <c r="I135" s="31">
        <f>SQRT((B135-3)^2 + (C135-2)^2)</f>
        <v>2.2360679774995436E-3</v>
      </c>
      <c r="J135" s="21">
        <f t="shared" si="40"/>
        <v>5.9149062291806453</v>
      </c>
      <c r="K135" s="21">
        <f t="shared" si="41"/>
        <v>8.5967871963891263</v>
      </c>
      <c r="L135" s="21">
        <f t="shared" si="42"/>
        <v>3.8940500215071712</v>
      </c>
      <c r="M135" s="32">
        <f t="shared" si="38"/>
        <v>1.4508801699998657E-4</v>
      </c>
    </row>
    <row r="136" spans="1:13" ht="16.5" thickTop="1" thickBot="1" x14ac:dyDescent="0.3">
      <c r="G136" s="34">
        <f>MIN(G132:G135)</f>
        <v>1.4508801699998657E-4</v>
      </c>
      <c r="I136" s="25">
        <f>MIN(I132:I135)</f>
        <v>2.2360679774995436E-3</v>
      </c>
      <c r="J136" s="26">
        <f>MIN(J132:J135)</f>
        <v>4.1593268686168829E-3</v>
      </c>
      <c r="K136" s="26">
        <f>MIN(K132:K135)</f>
        <v>2.9832867780352434E-3</v>
      </c>
      <c r="L136" s="27">
        <f>MIN(L132:L135)</f>
        <v>3.9204591567825421E-3</v>
      </c>
      <c r="M136" s="28">
        <f>AVERAGE(M132:M135)</f>
        <v>3.4639631999997119E-4</v>
      </c>
    </row>
    <row r="137" spans="1:13" ht="15.75" thickTop="1" x14ac:dyDescent="0.25"/>
  </sheetData>
  <mergeCells count="18">
    <mergeCell ref="H110:H111"/>
    <mergeCell ref="I110:L110"/>
    <mergeCell ref="M110:M111"/>
    <mergeCell ref="H130:H131"/>
    <mergeCell ref="I130:L130"/>
    <mergeCell ref="M130:M131"/>
    <mergeCell ref="H60:H61"/>
    <mergeCell ref="I60:L60"/>
    <mergeCell ref="M60:M61"/>
    <mergeCell ref="H84:H85"/>
    <mergeCell ref="I84:L84"/>
    <mergeCell ref="M84:M85"/>
    <mergeCell ref="H3:H4"/>
    <mergeCell ref="I3:L3"/>
    <mergeCell ref="M3:M4"/>
    <mergeCell ref="H32:H33"/>
    <mergeCell ref="I32:L32"/>
    <mergeCell ref="M32:M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Himmelblau_15p_optimitzat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2026-03-24T14:27:12Z</dcterms:created>
  <dcterms:modified xsi:type="dcterms:W3CDTF">2026-03-24T14:28:44Z</dcterms:modified>
</cp:coreProperties>
</file>